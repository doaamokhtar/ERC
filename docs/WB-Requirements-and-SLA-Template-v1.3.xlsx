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Instructions" sheetId="1" r:id="rId1"/>
    <sheet name="Service Catalog" sheetId="2" r:id="rId2"/>
    <sheet name="Request Form Fields" sheetId="3" r:id="rId3"/>
    <sheet name="Other Requirements" sheetId="4" r:id="rId4"/>
    <sheet name="SLA" sheetId="5" r:id="rId5"/>
    <sheet name="Groups &amp; Contacts" sheetId="6" r:id="rId6"/>
    <sheet name="Lists" sheetId="7" state="hidden" r:id="rId7"/>
  </sheets>
  <definedNames>
    <definedName name="Area">Lists!$A$2:$A$11</definedName>
    <definedName name="Calendar">Lists!$H$2:$H$3</definedName>
    <definedName name="Channel">Lists!$I$2:$I$5</definedName>
    <definedName name="FieldType">Lists!$M$2:$M$16</definedName>
    <definedName name="FilledBy">Lists!$L$2:$L$3</definedName>
    <definedName name="GroupNames">Lists!$O$2:$O$9</definedName>
    <definedName name="JiraField">Lists!$N$2:$N$16</definedName>
    <definedName name="Priority">Lists!$B$2:$B$5</definedName>
    <definedName name="ReportCategory">Lists!$D$2:$D$12</definedName>
    <definedName name="ReqStatus">Lists!$C$2:$C$6</definedName>
    <definedName name="Requesters">Lists!$K$2:$K$6</definedName>
    <definedName name="ServiceNames">'Service Catalog'!$C$6:$C$66</definedName>
    <definedName name="Severity">Lists!$E$2:$E$6</definedName>
    <definedName name="Stage">Lists!$F$2:$F$7</definedName>
    <definedName name="Unit">Lists!$G$2:$G$5</definedName>
    <definedName name="YesNo">Lists!$J$2:$J$3</definedName>
  </definedNames>
  <calcPr calcId="145621"/>
</workbook>
</file>

<file path=xl/calcChain.xml><?xml version="1.0" encoding="utf-8"?>
<calcChain xmlns="http://schemas.openxmlformats.org/spreadsheetml/2006/main">
  <c r="A66" i="5" l="1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K66" i="3"/>
  <c r="A66" i="3"/>
  <c r="K65" i="3"/>
  <c r="A65" i="3"/>
  <c r="K64" i="3"/>
  <c r="A64" i="3"/>
  <c r="K63" i="3"/>
  <c r="A63" i="3"/>
  <c r="K62" i="3"/>
  <c r="A62" i="3"/>
  <c r="K61" i="3"/>
  <c r="A61" i="3"/>
  <c r="K60" i="3"/>
  <c r="A60" i="3"/>
  <c r="K59" i="3"/>
  <c r="A59" i="3"/>
  <c r="K58" i="3"/>
  <c r="A58" i="3"/>
  <c r="K57" i="3"/>
  <c r="A57" i="3"/>
  <c r="K56" i="3"/>
  <c r="A56" i="3"/>
  <c r="K55" i="3"/>
  <c r="A55" i="3"/>
  <c r="K54" i="3"/>
  <c r="A54" i="3"/>
  <c r="K53" i="3"/>
  <c r="A53" i="3"/>
  <c r="K52" i="3"/>
  <c r="A52" i="3"/>
  <c r="K51" i="3"/>
  <c r="A51" i="3"/>
  <c r="K50" i="3"/>
  <c r="A50" i="3"/>
  <c r="K49" i="3"/>
  <c r="A49" i="3"/>
  <c r="K48" i="3"/>
  <c r="A48" i="3"/>
  <c r="K47" i="3"/>
  <c r="A47" i="3"/>
  <c r="K46" i="3"/>
  <c r="A46" i="3"/>
  <c r="K45" i="3"/>
  <c r="A45" i="3"/>
  <c r="K44" i="3"/>
  <c r="A44" i="3"/>
  <c r="K43" i="3"/>
  <c r="A43" i="3"/>
  <c r="K42" i="3"/>
  <c r="A42" i="3"/>
  <c r="K41" i="3"/>
  <c r="A41" i="3"/>
  <c r="K40" i="3"/>
  <c r="A40" i="3"/>
  <c r="K39" i="3"/>
  <c r="A39" i="3"/>
  <c r="K38" i="3"/>
  <c r="A38" i="3"/>
  <c r="K37" i="3"/>
  <c r="A37" i="3"/>
  <c r="K36" i="3"/>
  <c r="A36" i="3"/>
  <c r="K35" i="3"/>
  <c r="A35" i="3"/>
  <c r="K34" i="3"/>
  <c r="A34" i="3"/>
  <c r="K33" i="3"/>
  <c r="A33" i="3"/>
  <c r="K32" i="3"/>
  <c r="A32" i="3"/>
  <c r="K31" i="3"/>
  <c r="A31" i="3"/>
  <c r="K30" i="3"/>
  <c r="A30" i="3"/>
  <c r="K29" i="3"/>
  <c r="A29" i="3"/>
  <c r="K28" i="3"/>
  <c r="A28" i="3"/>
  <c r="K27" i="3"/>
  <c r="A27" i="3"/>
  <c r="K26" i="3"/>
  <c r="A26" i="3"/>
  <c r="K25" i="3"/>
  <c r="A25" i="3"/>
  <c r="K24" i="3"/>
  <c r="A24" i="3"/>
  <c r="K23" i="3"/>
  <c r="A23" i="3"/>
  <c r="K22" i="3"/>
  <c r="A22" i="3"/>
  <c r="K21" i="3"/>
  <c r="A21" i="3"/>
  <c r="K20" i="3"/>
  <c r="A20" i="3"/>
  <c r="K19" i="3"/>
  <c r="A19" i="3"/>
  <c r="K18" i="3"/>
  <c r="A18" i="3"/>
  <c r="K17" i="3"/>
  <c r="A17" i="3"/>
  <c r="K16" i="3"/>
  <c r="A16" i="3"/>
  <c r="K15" i="3"/>
  <c r="A15" i="3"/>
  <c r="K14" i="3"/>
  <c r="A14" i="3"/>
  <c r="K13" i="3"/>
  <c r="A13" i="3"/>
  <c r="K12" i="3"/>
  <c r="A12" i="3"/>
  <c r="K11" i="3"/>
  <c r="A11" i="3"/>
  <c r="K10" i="3"/>
  <c r="A10" i="3"/>
  <c r="K9" i="3"/>
  <c r="A9" i="3"/>
  <c r="K8" i="3"/>
  <c r="A8" i="3"/>
  <c r="K7" i="3"/>
  <c r="A7" i="3"/>
  <c r="K6" i="3"/>
  <c r="M66" i="2"/>
  <c r="L66" i="2"/>
  <c r="A66" i="2"/>
  <c r="M65" i="2"/>
  <c r="L65" i="2"/>
  <c r="A65" i="2"/>
  <c r="M64" i="2"/>
  <c r="L64" i="2"/>
  <c r="A64" i="2"/>
  <c r="M63" i="2"/>
  <c r="L63" i="2"/>
  <c r="A63" i="2"/>
  <c r="M62" i="2"/>
  <c r="L62" i="2"/>
  <c r="A62" i="2"/>
  <c r="M61" i="2"/>
  <c r="L61" i="2"/>
  <c r="A61" i="2"/>
  <c r="M60" i="2"/>
  <c r="L60" i="2"/>
  <c r="A60" i="2"/>
  <c r="M59" i="2"/>
  <c r="L59" i="2"/>
  <c r="A59" i="2"/>
  <c r="M58" i="2"/>
  <c r="L58" i="2"/>
  <c r="A58" i="2"/>
  <c r="M57" i="2"/>
  <c r="L57" i="2"/>
  <c r="A57" i="2"/>
  <c r="M56" i="2"/>
  <c r="L56" i="2"/>
  <c r="A56" i="2"/>
  <c r="M55" i="2"/>
  <c r="L55" i="2"/>
  <c r="A55" i="2"/>
  <c r="M54" i="2"/>
  <c r="L54" i="2"/>
  <c r="A54" i="2"/>
  <c r="M53" i="2"/>
  <c r="L53" i="2"/>
  <c r="A53" i="2"/>
  <c r="M52" i="2"/>
  <c r="L52" i="2"/>
  <c r="A52" i="2"/>
  <c r="M51" i="2"/>
  <c r="L51" i="2"/>
  <c r="A51" i="2"/>
  <c r="M50" i="2"/>
  <c r="L50" i="2"/>
  <c r="A50" i="2"/>
  <c r="M49" i="2"/>
  <c r="L49" i="2"/>
  <c r="A49" i="2"/>
  <c r="M48" i="2"/>
  <c r="L48" i="2"/>
  <c r="A48" i="2"/>
  <c r="M47" i="2"/>
  <c r="L47" i="2"/>
  <c r="A47" i="2"/>
  <c r="M46" i="2"/>
  <c r="L46" i="2"/>
  <c r="A46" i="2"/>
  <c r="M45" i="2"/>
  <c r="L45" i="2"/>
  <c r="A45" i="2"/>
  <c r="M44" i="2"/>
  <c r="L44" i="2"/>
  <c r="A44" i="2"/>
  <c r="M43" i="2"/>
  <c r="L43" i="2"/>
  <c r="A43" i="2"/>
  <c r="M42" i="2"/>
  <c r="L42" i="2"/>
  <c r="A42" i="2"/>
  <c r="M41" i="2"/>
  <c r="L41" i="2"/>
  <c r="A41" i="2"/>
  <c r="M40" i="2"/>
  <c r="L40" i="2"/>
  <c r="A40" i="2"/>
  <c r="M39" i="2"/>
  <c r="L39" i="2"/>
  <c r="A39" i="2"/>
  <c r="M38" i="2"/>
  <c r="L38" i="2"/>
  <c r="A38" i="2"/>
  <c r="M37" i="2"/>
  <c r="L37" i="2"/>
  <c r="A37" i="2"/>
  <c r="M36" i="2"/>
  <c r="L36" i="2"/>
  <c r="A36" i="2"/>
  <c r="M35" i="2"/>
  <c r="L35" i="2"/>
  <c r="A35" i="2"/>
  <c r="M34" i="2"/>
  <c r="L34" i="2"/>
  <c r="A34" i="2"/>
  <c r="M33" i="2"/>
  <c r="L33" i="2"/>
  <c r="A33" i="2"/>
  <c r="M32" i="2"/>
  <c r="L32" i="2"/>
  <c r="A32" i="2"/>
  <c r="M31" i="2"/>
  <c r="L31" i="2"/>
  <c r="A31" i="2"/>
  <c r="M30" i="2"/>
  <c r="L30" i="2"/>
  <c r="A30" i="2"/>
  <c r="M29" i="2"/>
  <c r="L29" i="2"/>
  <c r="A29" i="2"/>
  <c r="M28" i="2"/>
  <c r="L28" i="2"/>
  <c r="A28" i="2"/>
  <c r="M27" i="2"/>
  <c r="L27" i="2"/>
  <c r="A27" i="2"/>
  <c r="M26" i="2"/>
  <c r="L26" i="2"/>
  <c r="A26" i="2"/>
  <c r="M25" i="2"/>
  <c r="L25" i="2"/>
  <c r="A25" i="2"/>
  <c r="M24" i="2"/>
  <c r="L24" i="2"/>
  <c r="A24" i="2"/>
  <c r="M23" i="2"/>
  <c r="L23" i="2"/>
  <c r="A23" i="2"/>
  <c r="M22" i="2"/>
  <c r="L22" i="2"/>
  <c r="A22" i="2"/>
  <c r="M21" i="2"/>
  <c r="L21" i="2"/>
  <c r="A21" i="2"/>
  <c r="M20" i="2"/>
  <c r="L20" i="2"/>
  <c r="A20" i="2"/>
  <c r="M19" i="2"/>
  <c r="L19" i="2"/>
  <c r="A19" i="2"/>
  <c r="M18" i="2"/>
  <c r="L18" i="2"/>
  <c r="A18" i="2"/>
  <c r="M17" i="2"/>
  <c r="L17" i="2"/>
  <c r="A17" i="2"/>
  <c r="M16" i="2"/>
  <c r="L16" i="2"/>
  <c r="A16" i="2"/>
  <c r="M15" i="2"/>
  <c r="L15" i="2"/>
  <c r="A15" i="2"/>
  <c r="M14" i="2"/>
  <c r="L14" i="2"/>
  <c r="A14" i="2"/>
  <c r="M13" i="2"/>
  <c r="L13" i="2"/>
  <c r="A13" i="2"/>
  <c r="M12" i="2"/>
  <c r="L12" i="2"/>
  <c r="A12" i="2"/>
  <c r="M11" i="2"/>
  <c r="L11" i="2"/>
  <c r="A11" i="2"/>
  <c r="M10" i="2"/>
  <c r="L10" i="2"/>
  <c r="A10" i="2"/>
  <c r="M9" i="2"/>
  <c r="L9" i="2"/>
  <c r="A9" i="2"/>
  <c r="M8" i="2"/>
  <c r="L8" i="2"/>
  <c r="A8" i="2"/>
  <c r="M7" i="2"/>
  <c r="L7" i="2"/>
  <c r="A7" i="2"/>
  <c r="M6" i="2"/>
  <c r="L6" i="2"/>
  <c r="C32" i="1"/>
  <c r="C31" i="1"/>
  <c r="C30" i="1"/>
  <c r="C29" i="1"/>
  <c r="C28" i="1"/>
  <c r="C27" i="1"/>
</calcChain>
</file>

<file path=xl/comments1.xml><?xml version="1.0" encoding="utf-8"?>
<comments xmlns="http://schemas.openxmlformats.org/spreadsheetml/2006/main">
  <authors>
    <author>Ejada</author>
  </authors>
  <commentList>
    <comment ref="E5" authorId="0">
      <text>
        <r>
          <rPr>
            <sz val="11"/>
            <color theme="1"/>
            <rFont val="Calibri"/>
            <family val="2"/>
            <scheme val="minor"/>
          </rPr>
          <t>Anonymous = a public portal with no sign-in. Specific departments or groups: name them in Notes.</t>
        </r>
      </text>
    </comment>
    <comment ref="F5" authorId="0">
      <text>
        <r>
          <rPr>
            <sz val="11"/>
            <color theme="1"/>
            <rFont val="Calibri"/>
            <family val="2"/>
            <scheme val="minor"/>
          </rPr>
          <t>Free text: the role (e.g. Requester's Department Head) or the team/person who approves first. Write '-' if no approval is needed.</t>
        </r>
      </text>
    </comment>
    <comment ref="G5" authorId="0">
      <text>
        <r>
          <rPr>
            <sz val="11"/>
            <color theme="1"/>
            <rFont val="Calibri"/>
            <family val="2"/>
            <scheme val="minor"/>
          </rPr>
          <t>Free text: who approves after Level 1. Write '-' if none.</t>
        </r>
      </text>
    </comment>
    <comment ref="H5" authorId="0">
      <text>
        <r>
          <rPr>
            <sz val="11"/>
            <color theme="1"/>
            <rFont val="Calibri"/>
            <family val="2"/>
            <scheme val="minor"/>
          </rPr>
          <t>Free text: who approves after Level 2. Write '-' if none.</t>
        </r>
      </text>
    </comment>
    <comment ref="I5" authorId="0">
      <text>
        <r>
          <rPr>
            <sz val="11"/>
            <color theme="1"/>
            <rFont val="Calibri"/>
            <family val="2"/>
            <scheme val="minor"/>
          </rPr>
          <t>Free text: the team that receives and works the request first.</t>
        </r>
      </text>
    </comment>
    <comment ref="J5" authorId="0">
      <text>
        <r>
          <rPr>
            <sz val="11"/>
            <color theme="1"/>
            <rFont val="Calibri"/>
            <family val="2"/>
            <scheme val="minor"/>
          </rPr>
          <t>Free text: the team it is handed to next. Write '-' if none.</t>
        </r>
      </text>
    </comment>
    <comment ref="L5" authorId="0">
      <text>
        <r>
          <rPr>
            <sz val="11"/>
            <color theme="1"/>
            <rFont val="Calibri"/>
            <family val="2"/>
            <scheme val="minor"/>
          </rPr>
          <t>Automatic: how many approval levels this service needs.</t>
        </r>
      </text>
    </comment>
    <comment ref="M5" authorId="0">
      <text>
        <r>
          <rPr>
            <sz val="11"/>
            <color theme="1"/>
            <rFont val="Calibri"/>
            <family val="2"/>
            <scheme val="minor"/>
          </rPr>
          <t>Automatic: how many fields are listed for this service on the 'Request Form Fields' sheet.</t>
        </r>
      </text>
    </comment>
  </commentList>
</comments>
</file>

<file path=xl/comments2.xml><?xml version="1.0" encoding="utf-8"?>
<comments xmlns="http://schemas.openxmlformats.org/spreadsheetml/2006/main">
  <authors>
    <author>Ejada</author>
  </authors>
  <commentList>
    <comment ref="F5" authorId="0">
      <text>
        <r>
          <rPr>
            <sz val="11"/>
            <color theme="1"/>
            <rFont val="Calibri"/>
            <family val="2"/>
            <scheme val="minor"/>
          </rPr>
          <t>Pick the closest type; the grey 'Jira: field type' column shows what it becomes in Jira.</t>
        </r>
      </text>
    </comment>
    <comment ref="H5" authorId="0">
      <text>
        <r>
          <rPr>
            <sz val="11"/>
            <color theme="1"/>
            <rFont val="Calibri"/>
            <family val="2"/>
            <scheme val="minor"/>
          </rPr>
          <t>Only for Dropdown and Checkboxes, e.g. High; Medium; Low.</t>
        </r>
      </text>
    </comment>
    <comment ref="J5" authorId="0">
      <text>
        <r>
          <rPr>
            <sz val="11"/>
            <color theme="1"/>
            <rFont val="Calibri"/>
            <family val="2"/>
            <scheme val="minor"/>
          </rPr>
          <t>Internal team only = hidden from the requester, filled in by the team that works the request.</t>
        </r>
      </text>
    </comment>
    <comment ref="K5" authorId="0">
      <text>
        <r>
          <rPr>
            <sz val="11"/>
            <color theme="1"/>
            <rFont val="Calibri"/>
            <family val="2"/>
            <scheme val="minor"/>
          </rPr>
          <t>Automatic, from 'Field type'.</t>
        </r>
      </text>
    </comment>
  </commentList>
</comments>
</file>

<file path=xl/comments3.xml><?xml version="1.0" encoding="utf-8"?>
<comments xmlns="http://schemas.openxmlformats.org/spreadsheetml/2006/main">
  <authors>
    <author>Ejada</author>
  </authors>
  <commentList>
    <comment ref="F5" authorId="0">
      <text>
        <r>
          <rPr>
            <sz val="11"/>
            <color theme="1"/>
            <rFont val="Calibri"/>
            <family val="2"/>
            <scheme val="minor"/>
          </rPr>
          <t>Must have = go-live blocker. Should have = important, can follow shortly after. Could have = nice to have.</t>
        </r>
      </text>
    </comment>
    <comment ref="I5" authorId="0">
      <text>
        <r>
          <rPr>
            <sz val="11"/>
            <color theme="1"/>
            <rFont val="Calibri"/>
            <family val="2"/>
            <scheme val="minor"/>
          </rPr>
          <t>Describe the test that proves the requirement is met.</t>
        </r>
      </text>
    </comment>
    <comment ref="K5" authorId="0">
      <text>
        <r>
          <rPr>
            <sz val="11"/>
            <color theme="1"/>
            <rFont val="Calibri"/>
            <family val="2"/>
            <scheme val="minor"/>
          </rPr>
          <t>Filled in jointly with Ejada during review.</t>
        </r>
      </text>
    </comment>
  </commentList>
</comments>
</file>

<file path=xl/comments4.xml><?xml version="1.0" encoding="utf-8"?>
<comments xmlns="http://schemas.openxmlformats.org/spreadsheetml/2006/main">
  <authors>
    <author>Ejada</author>
  </authors>
  <commentList>
    <comment ref="D5" authorId="0">
      <text>
        <r>
          <rPr>
            <sz val="11"/>
            <color theme="1"/>
            <rFont val="Calibri"/>
            <family val="2"/>
            <scheme val="minor"/>
          </rPr>
          <t>Leave 'All categories' unless a category needs its own target - then add one row per category.</t>
        </r>
      </text>
    </comment>
    <comment ref="E5" authorId="0">
      <text>
        <r>
          <rPr>
            <sz val="11"/>
            <color theme="1"/>
            <rFont val="Calibri"/>
            <family val="2"/>
            <scheme val="minor"/>
          </rPr>
          <t>Leave 'All severities' unless targets differ by severity - then add one row per severity.</t>
        </r>
      </text>
    </comment>
    <comment ref="L5" authorId="0">
      <text>
        <r>
          <rPr>
            <sz val="11"/>
            <color theme="1"/>
            <rFont val="Calibri"/>
            <family val="2"/>
            <scheme val="minor"/>
          </rPr>
          <t>e.g. 75% sends a warning when three quarters of the time is used, before the breach.</t>
        </r>
      </text>
    </comment>
    <comment ref="O5" authorId="0">
      <text>
        <r>
          <rPr>
            <sz val="11"/>
            <color theme="1"/>
            <rFont val="Calibri"/>
            <family val="2"/>
            <scheme val="minor"/>
          </rPr>
          <t>0 = at the moment of breach. 1 = one unit (e.g. one working day) after.</t>
        </r>
      </text>
    </comment>
  </commentList>
</comments>
</file>

<file path=xl/sharedStrings.xml><?xml version="1.0" encoding="utf-8"?>
<sst xmlns="http://schemas.openxmlformats.org/spreadsheetml/2006/main" count="329" uniqueCount="277">
  <si>
    <t>Whistleblowing Reporting Portal - Requirements Template</t>
  </si>
  <si>
    <t>Service catalog, request forms, SLA and groups - to be completed by ERC</t>
  </si>
  <si>
    <t>How to fill in this workbook</t>
  </si>
  <si>
    <t>Yellow cell</t>
  </si>
  <si>
    <t>For you to fill in.</t>
  </si>
  <si>
    <t>Grey italic row</t>
  </si>
  <si>
    <t>An example of the expected format. Overwrite it or leave it.</t>
  </si>
  <si>
    <t>Dropdown</t>
  </si>
  <si>
    <t>Click the cell and pick from the list. Lists can be extended on request.</t>
  </si>
  <si>
    <t>Red note marker</t>
  </si>
  <si>
    <t>Hover over a column header with a red corner for guidance.</t>
  </si>
  <si>
    <t>Sheets</t>
  </si>
  <si>
    <t>Service Catalog</t>
  </si>
  <si>
    <t>One row per service on the portal: who can request it, who approves (up to 3 levels) and which team delivers it.</t>
  </si>
  <si>
    <t>Request Form Fields</t>
  </si>
  <si>
    <t>One row per field on a service's request form: label (English and Arabic), type, required or not, dropdown options.</t>
  </si>
  <si>
    <t>Other Requirements</t>
  </si>
  <si>
    <t>Anything that is not a service or a field: notifications, reports, access rules, data retention.</t>
  </si>
  <si>
    <t>SLA</t>
  </si>
  <si>
    <t>One row per service level: what is measured, the target, and who is warned and escalated to (group + email) at each level.</t>
  </si>
  <si>
    <t>Groups &amp; Contacts</t>
  </si>
  <si>
    <t>Who belongs to each group, their email, and whether they need a Jira licence.</t>
  </si>
  <si>
    <t>Document details</t>
  </si>
  <si>
    <t>Customer</t>
  </si>
  <si>
    <t>Expo 2030 Riyadh Company (ERC)</t>
  </si>
  <si>
    <t>Service</t>
  </si>
  <si>
    <t>Whistleblowing Reporting Portal (Jira Service Management)</t>
  </si>
  <si>
    <t>Template version</t>
  </si>
  <si>
    <t>1.2</t>
  </si>
  <si>
    <t>Prepared by (Ejada)</t>
  </si>
  <si>
    <t>Doaa Mokhtar</t>
  </si>
  <si>
    <t>Completed by (name, role)</t>
  </si>
  <si>
    <t>Date completed</t>
  </si>
  <si>
    <t>Approved by (name, role)</t>
  </si>
  <si>
    <t>Progress</t>
  </si>
  <si>
    <t>Services entered</t>
  </si>
  <si>
    <t>Form fields entered</t>
  </si>
  <si>
    <t>Other requirements entered</t>
  </si>
  <si>
    <t>Other requirements approved</t>
  </si>
  <si>
    <t>SLA rows entered</t>
  </si>
  <si>
    <t>Group members entered</t>
  </si>
  <si>
    <t>Confidentiality: do not enter details of real reports in this workbook - only requirements and contacts.</t>
  </si>
  <si>
    <t>One row per service - each row becomes one request type on the portal</t>
  </si>
  <si>
    <t>Row 6 is a worked example - copy its style. Repeat the category on every row (do not merge cells). Approvals and teams are free text: write the role or the team name, or '-' if none. Grey columns fill in automatically.</t>
  </si>
  <si>
    <t>Service ID</t>
  </si>
  <si>
    <t>Service Group / Category
فئة الخدمة</t>
  </si>
  <si>
    <t>Service Name
اسم الخدمة</t>
  </si>
  <si>
    <t>Service Description
وصف الخدمة</t>
  </si>
  <si>
    <t>Who can request?
من لديه صلاحية رفع الطلب؟</t>
  </si>
  <si>
    <t>Level 1 Approval
المستوى الأول للموافقة</t>
  </si>
  <si>
    <t>Level 2 Approval
المستوى الثاني للموافقة</t>
  </si>
  <si>
    <t>Level 3 Approval
المستوى الثالث للموافقة</t>
  </si>
  <si>
    <t>L1 Implementation Responsible Team
فريق التنفيذ - المستوى الأول</t>
  </si>
  <si>
    <t>L2 Implementation Responsible Team
فريق التنفيذ - المستوى الثاني</t>
  </si>
  <si>
    <t>Notes
ملاحظات</t>
  </si>
  <si>
    <t>Jira: approval steps</t>
  </si>
  <si>
    <t>Jira: form fields</t>
  </si>
  <si>
    <t>Ejada notes</t>
  </si>
  <si>
    <t>SVC-01</t>
  </si>
  <si>
    <t>Digital &amp; Technology Demand Intake</t>
  </si>
  <si>
    <t>New System or Capability</t>
  </si>
  <si>
    <t>ERC sectors can ask for a new system or capability.</t>
  </si>
  <si>
    <t>All ERC employees</t>
  </si>
  <si>
    <t>Requester's Department Head</t>
  </si>
  <si>
    <t>-</t>
  </si>
  <si>
    <t>PTO Team</t>
  </si>
  <si>
    <t>EA Team</t>
  </si>
  <si>
    <t>One approval only. PTO Team reviews the demand first, then hands it to EA Team for the architecture review.</t>
  </si>
  <si>
    <t>Request type: New System or Capability. Approver taken from the requester's department head.</t>
  </si>
  <si>
    <t>One row per field on a service's request form, in the order they appear</t>
  </si>
  <si>
    <t>Row 6 is a worked example. Do not add 'Requester name' or 'Date submitted' as fields - Jira records both automatically (choose the 'Automatic' field types if you want them listed).</t>
  </si>
  <si>
    <t>Field ID</t>
  </si>
  <si>
    <t>Order</t>
  </si>
  <si>
    <t>Field label (English)</t>
  </si>
  <si>
    <t>Field label (Arabic)
اسم الحقل</t>
  </si>
  <si>
    <t>Field type
نوع الحقل</t>
  </si>
  <si>
    <t>Required?
إلزامي؟</t>
  </si>
  <si>
    <t>Dropdown options (separate with ;)
الخيارات</t>
  </si>
  <si>
    <t>Help text shown under the field</t>
  </si>
  <si>
    <t>Who fills it?</t>
  </si>
  <si>
    <t>Jira: field type</t>
  </si>
  <si>
    <t>FLD-001</t>
  </si>
  <si>
    <t>Business Priority</t>
  </si>
  <si>
    <t>أولوية الطلب</t>
  </si>
  <si>
    <t>Dropdown - one choice</t>
  </si>
  <si>
    <t>Yes</t>
  </si>
  <si>
    <t>High; Medium; Low</t>
  </si>
  <si>
    <t>How important this demand is to your sector.</t>
  </si>
  <si>
    <t>Requester (portal)</t>
  </si>
  <si>
    <t>New field: Business Priority (select list).</t>
  </si>
  <si>
    <t>Anything that is not a service or a form field - one row per requirement</t>
  </si>
  <si>
    <t>Tip: keep one requirement per row. Use 'Acceptance criteria' to say how we will know it is done.</t>
  </si>
  <si>
    <t>Req ID</t>
  </si>
  <si>
    <t>Area</t>
  </si>
  <si>
    <t>Requirement title</t>
  </si>
  <si>
    <t>Description</t>
  </si>
  <si>
    <t>Business justification</t>
  </si>
  <si>
    <t>Priority</t>
  </si>
  <si>
    <t>Requested by (name)</t>
  </si>
  <si>
    <t>Department</t>
  </si>
  <si>
    <t>Acceptance criteria</t>
  </si>
  <si>
    <t>Target date</t>
  </si>
  <si>
    <t>Status</t>
  </si>
  <si>
    <t>BR-001</t>
  </si>
  <si>
    <t>Notifications</t>
  </si>
  <si>
    <t>Notify Compliance on every new report</t>
  </si>
  <si>
    <t>When a report is submitted, every member of GRC-Compliance receives an email with the reference number and a link.</t>
  </si>
  <si>
    <t>Reports must be seen within the same working day.</t>
  </si>
  <si>
    <t>Must have</t>
  </si>
  <si>
    <t>Head of Compliance</t>
  </si>
  <si>
    <t>Compliance</t>
  </si>
  <si>
    <t>A test report generates one email per GRC-Compliance member within 5 minutes; the email has no report details.</t>
  </si>
  <si>
    <t>2026-11-15</t>
  </si>
  <si>
    <t>Implemented</t>
  </si>
  <si>
    <t>Live in sandbox.</t>
  </si>
  <si>
    <t>Service Levels (SLA) and Escalation</t>
  </si>
  <si>
    <t>One row per SLA level - add a row for each category or severity that needs its own target</t>
  </si>
  <si>
    <t>Escalation timing is after the breach, in the same unit as the target (e.g. 1 = one working day after the target is missed). Groups come from the 'Groups &amp; Contacts' sheet; add a personal email only if someone outside a group must be told.</t>
  </si>
  <si>
    <t>SLA ID</t>
  </si>
  <si>
    <t>SLA name</t>
  </si>
  <si>
    <t>Stage measured</t>
  </si>
  <si>
    <t>Applies to report category</t>
  </si>
  <si>
    <t>Severity</t>
  </si>
  <si>
    <t>Clock starts when</t>
  </si>
  <si>
    <t>Clock stops when</t>
  </si>
  <si>
    <t>Clock pauses when</t>
  </si>
  <si>
    <t>Target</t>
  </si>
  <si>
    <t>Unit</t>
  </si>
  <si>
    <t>Calendar</t>
  </si>
  <si>
    <t>Warning at (% of target)</t>
  </si>
  <si>
    <t>Warning - group</t>
  </si>
  <si>
    <t>Warning - email</t>
  </si>
  <si>
    <t>Escalation L1 - after breach</t>
  </si>
  <si>
    <t>L1 - group</t>
  </si>
  <si>
    <t>L1 - email</t>
  </si>
  <si>
    <t>L1 - channel</t>
  </si>
  <si>
    <t>Escalation L2 - after breach</t>
  </si>
  <si>
    <t>L2 - group</t>
  </si>
  <si>
    <t>L2 - email</t>
  </si>
  <si>
    <t>L2 - channel</t>
  </si>
  <si>
    <t>Escalation L3 - after breach</t>
  </si>
  <si>
    <t>L3 - group</t>
  </si>
  <si>
    <t>L3 - email</t>
  </si>
  <si>
    <t>L3 - channel</t>
  </si>
  <si>
    <t>Notes</t>
  </si>
  <si>
    <t>SLA-01</t>
  </si>
  <si>
    <t>Time to Compliance Decision</t>
  </si>
  <si>
    <t>Compliance Decision</t>
  </si>
  <si>
    <t>All categories</t>
  </si>
  <si>
    <t>All severities</t>
  </si>
  <si>
    <t>Report created, or returned to Back to Compliance</t>
  </si>
  <si>
    <t>Under Investigation or Rejected by Compliance</t>
  </si>
  <si>
    <t>Never</t>
  </si>
  <si>
    <t>Working days</t>
  </si>
  <si>
    <t>ERC working week (Sun-Thu 08:00-16:00)</t>
  </si>
  <si>
    <t>GRC-Compliance</t>
  </si>
  <si>
    <t>HO-Compliance</t>
  </si>
  <si>
    <t>doaamokhtar@gmail.com</t>
  </si>
  <si>
    <t>Email</t>
  </si>
  <si>
    <t>Today: L1 only, on breach. L1 email is a placeholder until the real Head of Compliance is named.</t>
  </si>
  <si>
    <t>Time to Investigation Decision</t>
  </si>
  <si>
    <t>Investigation Decision</t>
  </si>
  <si>
    <t>Report enters Under Investigation</t>
  </si>
  <si>
    <t>Investigation Approved or Back to Compliance</t>
  </si>
  <si>
    <t>Configured in the sandbox today.</t>
  </si>
  <si>
    <t>Groups and Contacts</t>
  </si>
  <si>
    <t>One row per member - repeat the group name for each member</t>
  </si>
  <si>
    <t>A person should belong to one investigation group only, so they cannot review the same report twice.</t>
  </si>
  <si>
    <t>Group</t>
  </si>
  <si>
    <t>Role in the process</t>
  </si>
  <si>
    <t>Member name</t>
  </si>
  <si>
    <t>Member email</t>
  </si>
  <si>
    <t>Job title / department</t>
  </si>
  <si>
    <t>Needs Jira agent licence?</t>
  </si>
  <si>
    <t>Also receives escalations?</t>
  </si>
  <si>
    <t>Compliance Manager</t>
  </si>
  <si>
    <t>Fotoun Kurdi</t>
  </si>
  <si>
    <t>f.kurdi@erc.sa</t>
  </si>
  <si>
    <t>GRC</t>
  </si>
  <si>
    <t>No</t>
  </si>
  <si>
    <t>Example only.</t>
  </si>
  <si>
    <t>Compliance Manager: classifies new reports, approves or rejects them</t>
  </si>
  <si>
    <t>Internal Audit</t>
  </si>
  <si>
    <t>Investigates fraud, bribery and procurement reports</t>
  </si>
  <si>
    <t>Human Resources</t>
  </si>
  <si>
    <t>Investigates harassment; first approval on retaliation reports</t>
  </si>
  <si>
    <t>Employee Relations</t>
  </si>
  <si>
    <t>Second approval on retaliation reports</t>
  </si>
  <si>
    <t>Health and Safety Representative</t>
  </si>
  <si>
    <t>Investigates health, safety, environmental and heritage reports</t>
  </si>
  <si>
    <t>Information Security</t>
  </si>
  <si>
    <t>Investigates information security and data protection reports</t>
  </si>
  <si>
    <t>Head of Compliance: receives SLA escalations</t>
  </si>
  <si>
    <t>FollowUP TKT</t>
  </si>
  <si>
    <t>Oversight: sees all reports</t>
  </si>
  <si>
    <t>ReqStatus</t>
  </si>
  <si>
    <t>ReportCategory</t>
  </si>
  <si>
    <t>Stage</t>
  </si>
  <si>
    <t>Channel</t>
  </si>
  <si>
    <t>YesNo</t>
  </si>
  <si>
    <t>Requesters</t>
  </si>
  <si>
    <t>FilledBy</t>
  </si>
  <si>
    <t>FieldType</t>
  </si>
  <si>
    <t>JiraField</t>
  </si>
  <si>
    <t>GroupNames</t>
  </si>
  <si>
    <t>Intake / Portal</t>
  </si>
  <si>
    <t>New</t>
  </si>
  <si>
    <t>Working hours</t>
  </si>
  <si>
    <t>Single-line text</t>
  </si>
  <si>
    <t>Short text (Text Field - single line)</t>
  </si>
  <si>
    <t>Classification</t>
  </si>
  <si>
    <t>Should have</t>
  </si>
  <si>
    <t>In review</t>
  </si>
  <si>
    <t>Fraud, Theft, Embezzlement or Asset Misappropriation</t>
  </si>
  <si>
    <t>Critical</t>
  </si>
  <si>
    <t>24/7</t>
  </si>
  <si>
    <t>Email + Microsoft Teams</t>
  </si>
  <si>
    <t>Specific departments (list in Notes)</t>
  </si>
  <si>
    <t>Internal team only</t>
  </si>
  <si>
    <t>Multi-line text</t>
  </si>
  <si>
    <t>Paragraph (Text Field - multi-line)</t>
  </si>
  <si>
    <t>Routing</t>
  </si>
  <si>
    <t>Could have</t>
  </si>
  <si>
    <t>Approved</t>
  </si>
  <si>
    <t>Bribery, Corruption, Kickbacks or Trading in Influence</t>
  </si>
  <si>
    <t>High</t>
  </si>
  <si>
    <t>Employee Relations Approval (Retaliation)</t>
  </si>
  <si>
    <t>Calendar hours</t>
  </si>
  <si>
    <t>Microsoft Teams</t>
  </si>
  <si>
    <t>Specific group (name in Notes)</t>
  </si>
  <si>
    <t>Number</t>
  </si>
  <si>
    <t>Number Field</t>
  </si>
  <si>
    <t>Investigation</t>
  </si>
  <si>
    <t>Won't have (now)</t>
  </si>
  <si>
    <t>Rejected</t>
  </si>
  <si>
    <t>Money Laundering, Terrorist Financing or Sanctions Concerns</t>
  </si>
  <si>
    <t>Medium</t>
  </si>
  <si>
    <t>First contact with reporter</t>
  </si>
  <si>
    <t>Calendar days</t>
  </si>
  <si>
    <t>SMS</t>
  </si>
  <si>
    <t>Anyone - no sign-in (anonymous)</t>
  </si>
  <si>
    <t>Date</t>
  </si>
  <si>
    <t>Date Picker</t>
  </si>
  <si>
    <t>Procurement Manipulation, Collusion, Bid Rigging or Conflict of Interest</t>
  </si>
  <si>
    <t>Low</t>
  </si>
  <si>
    <t>Case closure</t>
  </si>
  <si>
    <t>External customers / partners</t>
  </si>
  <si>
    <t>Date and time</t>
  </si>
  <si>
    <t>Date Time Picker</t>
  </si>
  <si>
    <t>SLA &amp; Escalation</t>
  </si>
  <si>
    <t>Harassment, Discrimination, Bullying or Abuse of Authority</t>
  </si>
  <si>
    <t>Other</t>
  </si>
  <si>
    <t>Select List (single choice)</t>
  </si>
  <si>
    <t>Reporting</t>
  </si>
  <si>
    <t>Health, Safety, Environmental or Heritage-Protection Breach</t>
  </si>
  <si>
    <t>Dropdown - many choices</t>
  </si>
  <si>
    <t>Select List (multiple choices)</t>
  </si>
  <si>
    <t>Security &amp; Access</t>
  </si>
  <si>
    <t>Information Security, Data Protection or Systems Misuse</t>
  </si>
  <si>
    <t>Checkboxes</t>
  </si>
  <si>
    <t>Data &amp; Retention</t>
  </si>
  <si>
    <t>Other Regulatory or License Compliance Breach</t>
  </si>
  <si>
    <t>Yes / No</t>
  </si>
  <si>
    <t>Radio Buttons (Yes, No)</t>
  </si>
  <si>
    <t>Retaliation Against a Reporter or Witness</t>
  </si>
  <si>
    <t>Person (pick a user)</t>
  </si>
  <si>
    <t>User Picker (single user)</t>
  </si>
  <si>
    <t>Email address</t>
  </si>
  <si>
    <t>Short text + email validation (Form)</t>
  </si>
  <si>
    <t>Phone number</t>
  </si>
  <si>
    <t>Short text (Form)</t>
  </si>
  <si>
    <t>Attachment</t>
  </si>
  <si>
    <t>System: Attachment</t>
  </si>
  <si>
    <t>Automatic - requester name</t>
  </si>
  <si>
    <t>System: Reporter - no field needed</t>
  </si>
  <si>
    <t>Automatic - date submitted</t>
  </si>
  <si>
    <t>System: Created - no field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</si>
</sst>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6"/>
      <color rgb="FFFFFFFF"/>
      <name val="Arial"/>
    </font>
    <font>
      <sz val="10"/>
      <color rgb="FF36B78E"/>
      <name val="Arial"/>
    </font>
    <font>
      <b/>
      <sz val="12"/>
      <color rgb="FF024638"/>
      <name val="Arial"/>
    </font>
    <font>
      <sz val="10"/>
      <name val="Arial"/>
    </font>
    <font>
      <b/>
      <sz val="10"/>
      <color rgb="FF228848"/>
      <name val="Arial"/>
    </font>
    <font>
      <i/>
      <sz val="10"/>
      <color rgb="FF5E716B"/>
      <name val="Arial"/>
    </font>
    <font>
      <b/>
      <sz val="10"/>
      <color rgb="FFFFFFFF"/>
      <name val="Arial"/>
    </font>
    <font>
      <sz val="10"/>
      <color rgb="FF1D2B27"/>
      <name val="Arial"/>
    </font>
    <font>
      <sz val="10"/>
      <color rgb="FF5E716B"/>
      <name val="Arial"/>
    </font>
  </fonts>
  <fills count="6">
    <fill>
      <patternFill patternType="none"/>
    </fill>
    <fill>
      <patternFill patternType="gray125"/>
    </fill>
    <fill>
      <patternFill patternType="solid">
        <fgColor rgb="FF024638"/>
      </patternFill>
    </fill>
    <fill>
      <patternFill patternType="solid">
        <fgColor rgb="FFFFF8D6"/>
      </patternFill>
    </fill>
    <fill>
      <patternFill patternType="solid">
        <fgColor rgb="FFF1F6F3"/>
      </patternFill>
    </fill>
    <fill>
      <patternFill patternType="solid">
        <fgColor rgb="FFEEF7F3"/>
      </patternFill>
    </fill>
  </fills>
  <borders count="2">
    <border>
      <left/>
      <right/>
      <top/>
      <bottom/>
      <diagonal/>
    </border>
    <border>
      <left style="thin">
        <color rgb="FFD6E6DF"/>
      </left>
      <right style="thin">
        <color rgb="FFD6E6DF"/>
      </right>
      <top style="thin">
        <color rgb="FFD6E6DF"/>
      </top>
      <bottom style="thin">
        <color rgb="FFD6E6D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1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1" fillId="4" borderId="1" xfId="0" applyFont="1" applyFill="1" applyBorder="1"/>
    <xf numFmtId="0" fontId="1" fillId="0" borderId="1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5" fillId="0" borderId="1" xfId="0" applyFont="1" applyBorder="1" applyAlignment="1">
      <alignment horizontal="left"/>
    </xf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top"/>
    </xf>
    <xf numFmtId="14" fontId="7" fillId="4" borderId="1" xfId="0" applyNumberFormat="1" applyFont="1" applyFill="1" applyBorder="1" applyAlignment="1">
      <alignment vertical="top" wrapText="1"/>
    </xf>
    <xf numFmtId="14" fontId="9" fillId="3" borderId="1" xfId="0" applyNumberFormat="1" applyFont="1" applyFill="1" applyBorder="1" applyAlignment="1">
      <alignment vertical="top" wrapText="1"/>
    </xf>
    <xf numFmtId="9" fontId="7" fillId="4" borderId="1" xfId="0" applyNumberFormat="1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9" fontId="7" fillId="3" borderId="1" xfId="0" applyNumberFormat="1" applyFont="1" applyFill="1" applyBorder="1" applyAlignment="1">
      <alignment vertical="top" wrapText="1"/>
    </xf>
    <xf numFmtId="9" fontId="9" fillId="3" borderId="1" xfId="0" applyNumberFormat="1" applyFont="1" applyFill="1" applyBorder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6" fillId="5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3905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4638"/>
  </sheetPr>
  <dimension ref="B1:C34"/>
  <sheetViews>
    <sheetView showGridLines="0" tabSelected="1" zoomScale="90" workbookViewId="0"/>
  </sheetViews>
  <sheetFormatPr defaultRowHeight="14.4" x14ac:dyDescent="0.3"/>
  <cols>
    <col min="1" max="1" width="16" customWidth="1"/>
    <col min="2" max="2" width="34" customWidth="1"/>
    <col min="3" max="3" width="70" customWidth="1"/>
  </cols>
  <sheetData>
    <row r="1" spans="2:3" ht="43.95" customHeight="1" x14ac:dyDescent="0.3">
      <c r="B1" s="23" t="s">
        <v>0</v>
      </c>
      <c r="C1" s="24"/>
    </row>
    <row r="2" spans="2:3" ht="22.05" customHeight="1" x14ac:dyDescent="0.3">
      <c r="B2" s="25" t="s">
        <v>1</v>
      </c>
      <c r="C2" s="24"/>
    </row>
    <row r="4" spans="2:3" ht="15.6" x14ac:dyDescent="0.3">
      <c r="B4" s="1" t="s">
        <v>2</v>
      </c>
    </row>
    <row r="5" spans="2:3" x14ac:dyDescent="0.3">
      <c r="B5" s="2" t="s">
        <v>3</v>
      </c>
      <c r="C5" s="3" t="s">
        <v>4</v>
      </c>
    </row>
    <row r="6" spans="2:3" x14ac:dyDescent="0.3">
      <c r="B6" s="4" t="s">
        <v>5</v>
      </c>
      <c r="C6" s="3" t="s">
        <v>6</v>
      </c>
    </row>
    <row r="7" spans="2:3" x14ac:dyDescent="0.3">
      <c r="B7" s="5" t="s">
        <v>7</v>
      </c>
      <c r="C7" s="3" t="s">
        <v>8</v>
      </c>
    </row>
    <row r="8" spans="2:3" x14ac:dyDescent="0.3">
      <c r="B8" s="5" t="s">
        <v>9</v>
      </c>
      <c r="C8" s="3" t="s">
        <v>10</v>
      </c>
    </row>
    <row r="10" spans="2:3" ht="15.6" x14ac:dyDescent="0.3">
      <c r="B10" s="1" t="s">
        <v>11</v>
      </c>
    </row>
    <row r="11" spans="2:3" ht="26.4" x14ac:dyDescent="0.3">
      <c r="B11" s="5" t="s">
        <v>12</v>
      </c>
      <c r="C11" s="3" t="s">
        <v>13</v>
      </c>
    </row>
    <row r="12" spans="2:3" ht="26.4" x14ac:dyDescent="0.3">
      <c r="B12" s="5" t="s">
        <v>14</v>
      </c>
      <c r="C12" s="3" t="s">
        <v>15</v>
      </c>
    </row>
    <row r="13" spans="2:3" ht="26.4" x14ac:dyDescent="0.3">
      <c r="B13" s="5" t="s">
        <v>16</v>
      </c>
      <c r="C13" s="3" t="s">
        <v>17</v>
      </c>
    </row>
    <row r="14" spans="2:3" ht="26.4" x14ac:dyDescent="0.3">
      <c r="B14" s="5" t="s">
        <v>18</v>
      </c>
      <c r="C14" s="3" t="s">
        <v>19</v>
      </c>
    </row>
    <row r="15" spans="2:3" x14ac:dyDescent="0.3">
      <c r="B15" s="5" t="s">
        <v>20</v>
      </c>
      <c r="C15" s="3" t="s">
        <v>21</v>
      </c>
    </row>
    <row r="17" spans="2:3" ht="15.6" x14ac:dyDescent="0.3">
      <c r="B17" s="1" t="s">
        <v>22</v>
      </c>
    </row>
    <row r="18" spans="2:3" x14ac:dyDescent="0.3">
      <c r="B18" s="5" t="s">
        <v>23</v>
      </c>
      <c r="C18" s="6" t="s">
        <v>24</v>
      </c>
    </row>
    <row r="19" spans="2:3" x14ac:dyDescent="0.3">
      <c r="B19" s="5" t="s">
        <v>25</v>
      </c>
      <c r="C19" s="6" t="s">
        <v>26</v>
      </c>
    </row>
    <row r="20" spans="2:3" x14ac:dyDescent="0.3">
      <c r="B20" s="5" t="s">
        <v>27</v>
      </c>
      <c r="C20" s="6" t="s">
        <v>28</v>
      </c>
    </row>
    <row r="21" spans="2:3" x14ac:dyDescent="0.3">
      <c r="B21" s="5" t="s">
        <v>29</v>
      </c>
      <c r="C21" s="6" t="s">
        <v>30</v>
      </c>
    </row>
    <row r="22" spans="2:3" x14ac:dyDescent="0.3">
      <c r="B22" s="5" t="s">
        <v>31</v>
      </c>
      <c r="C22" s="7"/>
    </row>
    <row r="23" spans="2:3" x14ac:dyDescent="0.3">
      <c r="B23" s="5" t="s">
        <v>32</v>
      </c>
      <c r="C23" s="7"/>
    </row>
    <row r="24" spans="2:3" x14ac:dyDescent="0.3">
      <c r="B24" s="5" t="s">
        <v>33</v>
      </c>
      <c r="C24" s="7"/>
    </row>
    <row r="26" spans="2:3" ht="15.6" x14ac:dyDescent="0.3">
      <c r="B26" s="1" t="s">
        <v>34</v>
      </c>
    </row>
    <row r="27" spans="2:3" x14ac:dyDescent="0.3">
      <c r="B27" s="5" t="s">
        <v>35</v>
      </c>
      <c r="C27" s="8">
        <f>COUNTA('Service Catalog'!C7:C66)</f>
        <v>0</v>
      </c>
    </row>
    <row r="28" spans="2:3" x14ac:dyDescent="0.3">
      <c r="B28" s="5" t="s">
        <v>36</v>
      </c>
      <c r="C28" s="8">
        <f>COUNTA('Request Form Fields'!D7:D66)</f>
        <v>0</v>
      </c>
    </row>
    <row r="29" spans="2:3" x14ac:dyDescent="0.3">
      <c r="B29" s="5" t="s">
        <v>37</v>
      </c>
      <c r="C29" s="8">
        <f>COUNTA('Other Requirements'!C7:C66)</f>
        <v>0</v>
      </c>
    </row>
    <row r="30" spans="2:3" x14ac:dyDescent="0.3">
      <c r="B30" s="5" t="s">
        <v>38</v>
      </c>
      <c r="C30" s="8">
        <f>COUNTIF('Other Requirements'!K7:K66,"Approved")</f>
        <v>0</v>
      </c>
    </row>
    <row r="31" spans="2:3" x14ac:dyDescent="0.3">
      <c r="B31" s="5" t="s">
        <v>39</v>
      </c>
      <c r="C31" s="8">
        <f>COUNTA(SLA!B7:B66)</f>
        <v>1</v>
      </c>
    </row>
    <row r="32" spans="2:3" x14ac:dyDescent="0.3">
      <c r="B32" s="5" t="s">
        <v>40</v>
      </c>
      <c r="C32" s="8">
        <f>COUNTA('Groups &amp; Contacts'!C7:C66)</f>
        <v>0</v>
      </c>
    </row>
    <row r="34" spans="2:3" x14ac:dyDescent="0.3">
      <c r="B34" s="26" t="s">
        <v>41</v>
      </c>
      <c r="C34" s="27"/>
    </row>
  </sheetData>
  <mergeCells count="3">
    <mergeCell ref="B1:C1"/>
    <mergeCell ref="B2:C2"/>
    <mergeCell ref="B34:C3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6B78E"/>
  </sheetPr>
  <dimension ref="A1:N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26" customWidth="1"/>
    <col min="3" max="3" width="30" customWidth="1"/>
    <col min="4" max="4" width="42" customWidth="1"/>
    <col min="5" max="5" width="26" customWidth="1"/>
    <col min="6" max="8" width="24" customWidth="1"/>
    <col min="9" max="10" width="28" customWidth="1"/>
    <col min="11" max="11" width="30" customWidth="1"/>
    <col min="12" max="12" width="13" customWidth="1"/>
    <col min="13" max="13" width="12" customWidth="1"/>
    <col min="14" max="14" width="30" customWidth="1"/>
  </cols>
  <sheetData>
    <row r="1" spans="1:14" ht="43.95" customHeight="1" x14ac:dyDescent="0.3">
      <c r="B1" s="23" t="s">
        <v>12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22.05" customHeight="1" x14ac:dyDescent="0.3">
      <c r="B2" s="25" t="s">
        <v>42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x14ac:dyDescent="0.3">
      <c r="A4" s="9" t="s">
        <v>43</v>
      </c>
    </row>
    <row r="5" spans="1:14" ht="48" customHeight="1" x14ac:dyDescent="0.3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  <c r="J5" s="10" t="s">
        <v>53</v>
      </c>
      <c r="K5" s="10" t="s">
        <v>54</v>
      </c>
      <c r="L5" s="10" t="s">
        <v>55</v>
      </c>
      <c r="M5" s="10" t="s">
        <v>56</v>
      </c>
      <c r="N5" s="10" t="s">
        <v>57</v>
      </c>
    </row>
    <row r="6" spans="1:14" ht="52.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 t="s">
        <v>63</v>
      </c>
      <c r="G6" s="11" t="s">
        <v>64</v>
      </c>
      <c r="H6" s="11" t="s">
        <v>64</v>
      </c>
      <c r="I6" s="11" t="s">
        <v>65</v>
      </c>
      <c r="J6" s="11" t="s">
        <v>66</v>
      </c>
      <c r="K6" s="11" t="s">
        <v>67</v>
      </c>
      <c r="L6" s="12">
        <f t="shared" ref="L6:L37" si="0">IF(C6="","",SUMPRODUCT((TRIM(F6:H6)&lt;&gt;"")*(TRIM(F6:H6)&lt;&gt;"None")*(TRIM(F6:H6)&lt;&gt;"-")))</f>
        <v>1</v>
      </c>
      <c r="M6" s="12">
        <f>IF(C6="","",COUNTIF('Request Form Fields'!$B$6:$B$66,C6))</f>
        <v>1</v>
      </c>
      <c r="N6" s="11" t="s">
        <v>68</v>
      </c>
    </row>
    <row r="7" spans="1:14" x14ac:dyDescent="0.3">
      <c r="A7" s="13" t="str">
        <f t="shared" ref="A7:A38" si="1">IF(C7="","","SVC-"&amp;TEXT(ROW()-5,"00"))</f>
        <v/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 t="str">
        <f t="shared" si="0"/>
        <v/>
      </c>
      <c r="M7" s="15" t="str">
        <f>IF(C7="","",COUNTIF('Request Form Fields'!$B$6:$B$66,C7))</f>
        <v/>
      </c>
      <c r="N7" s="14"/>
    </row>
    <row r="8" spans="1:14" x14ac:dyDescent="0.3">
      <c r="A8" s="13" t="str">
        <f t="shared" si="1"/>
        <v/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 t="str">
        <f t="shared" si="0"/>
        <v/>
      </c>
      <c r="M8" s="15" t="str">
        <f>IF(C8="","",COUNTIF('Request Form Fields'!$B$6:$B$66,C8))</f>
        <v/>
      </c>
      <c r="N8" s="14"/>
    </row>
    <row r="9" spans="1:14" x14ac:dyDescent="0.3">
      <c r="A9" s="13" t="str">
        <f t="shared" si="1"/>
        <v/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5" t="str">
        <f t="shared" si="0"/>
        <v/>
      </c>
      <c r="M9" s="15" t="str">
        <f>IF(C9="","",COUNTIF('Request Form Fields'!$B$6:$B$66,C9))</f>
        <v/>
      </c>
      <c r="N9" s="14"/>
    </row>
    <row r="10" spans="1:14" x14ac:dyDescent="0.3">
      <c r="A10" s="13" t="str">
        <f t="shared" si="1"/>
        <v/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 t="str">
        <f t="shared" si="0"/>
        <v/>
      </c>
      <c r="M10" s="15" t="str">
        <f>IF(C10="","",COUNTIF('Request Form Fields'!$B$6:$B$66,C10))</f>
        <v/>
      </c>
      <c r="N10" s="14"/>
    </row>
    <row r="11" spans="1:14" x14ac:dyDescent="0.3">
      <c r="A11" s="13" t="str">
        <f t="shared" si="1"/>
        <v/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 t="str">
        <f t="shared" si="0"/>
        <v/>
      </c>
      <c r="M11" s="15" t="str">
        <f>IF(C11="","",COUNTIF('Request Form Fields'!$B$6:$B$66,C11))</f>
        <v/>
      </c>
      <c r="N11" s="14"/>
    </row>
    <row r="12" spans="1:14" x14ac:dyDescent="0.3">
      <c r="A12" s="13" t="str">
        <f t="shared" si="1"/>
        <v/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 t="str">
        <f t="shared" si="0"/>
        <v/>
      </c>
      <c r="M12" s="15" t="str">
        <f>IF(C12="","",COUNTIF('Request Form Fields'!$B$6:$B$66,C12))</f>
        <v/>
      </c>
      <c r="N12" s="14"/>
    </row>
    <row r="13" spans="1:14" x14ac:dyDescent="0.3">
      <c r="A13" s="13" t="str">
        <f t="shared" si="1"/>
        <v/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 t="str">
        <f t="shared" si="0"/>
        <v/>
      </c>
      <c r="M13" s="15" t="str">
        <f>IF(C13="","",COUNTIF('Request Form Fields'!$B$6:$B$66,C13))</f>
        <v/>
      </c>
      <c r="N13" s="14"/>
    </row>
    <row r="14" spans="1:14" x14ac:dyDescent="0.3">
      <c r="A14" s="13" t="str">
        <f t="shared" si="1"/>
        <v/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 t="str">
        <f t="shared" si="0"/>
        <v/>
      </c>
      <c r="M14" s="15" t="str">
        <f>IF(C14="","",COUNTIF('Request Form Fields'!$B$6:$B$66,C14))</f>
        <v/>
      </c>
      <c r="N14" s="14"/>
    </row>
    <row r="15" spans="1:14" x14ac:dyDescent="0.3">
      <c r="A15" s="13" t="str">
        <f t="shared" si="1"/>
        <v/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 t="str">
        <f t="shared" si="0"/>
        <v/>
      </c>
      <c r="M15" s="15" t="str">
        <f>IF(C15="","",COUNTIF('Request Form Fields'!$B$6:$B$66,C15))</f>
        <v/>
      </c>
      <c r="N15" s="14"/>
    </row>
    <row r="16" spans="1:14" x14ac:dyDescent="0.3">
      <c r="A16" s="13" t="str">
        <f t="shared" si="1"/>
        <v/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 t="str">
        <f t="shared" si="0"/>
        <v/>
      </c>
      <c r="M16" s="15" t="str">
        <f>IF(C16="","",COUNTIF('Request Form Fields'!$B$6:$B$66,C16))</f>
        <v/>
      </c>
      <c r="N16" s="14"/>
    </row>
    <row r="17" spans="1:14" x14ac:dyDescent="0.3">
      <c r="A17" s="13" t="str">
        <f t="shared" si="1"/>
        <v/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 t="str">
        <f t="shared" si="0"/>
        <v/>
      </c>
      <c r="M17" s="15" t="str">
        <f>IF(C17="","",COUNTIF('Request Form Fields'!$B$6:$B$66,C17))</f>
        <v/>
      </c>
      <c r="N17" s="14"/>
    </row>
    <row r="18" spans="1:14" x14ac:dyDescent="0.3">
      <c r="A18" s="13" t="str">
        <f t="shared" si="1"/>
        <v/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 t="str">
        <f t="shared" si="0"/>
        <v/>
      </c>
      <c r="M18" s="15" t="str">
        <f>IF(C18="","",COUNTIF('Request Form Fields'!$B$6:$B$66,C18))</f>
        <v/>
      </c>
      <c r="N18" s="14"/>
    </row>
    <row r="19" spans="1:14" x14ac:dyDescent="0.3">
      <c r="A19" s="13" t="str">
        <f t="shared" si="1"/>
        <v/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 t="str">
        <f t="shared" si="0"/>
        <v/>
      </c>
      <c r="M19" s="15" t="str">
        <f>IF(C19="","",COUNTIF('Request Form Fields'!$B$6:$B$66,C19))</f>
        <v/>
      </c>
      <c r="N19" s="14"/>
    </row>
    <row r="20" spans="1:14" x14ac:dyDescent="0.3">
      <c r="A20" s="13" t="str">
        <f t="shared" si="1"/>
        <v/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 t="str">
        <f t="shared" si="0"/>
        <v/>
      </c>
      <c r="M20" s="15" t="str">
        <f>IF(C20="","",COUNTIF('Request Form Fields'!$B$6:$B$66,C20))</f>
        <v/>
      </c>
      <c r="N20" s="14"/>
    </row>
    <row r="21" spans="1:14" x14ac:dyDescent="0.3">
      <c r="A21" s="13" t="str">
        <f t="shared" si="1"/>
        <v/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5" t="str">
        <f t="shared" si="0"/>
        <v/>
      </c>
      <c r="M21" s="15" t="str">
        <f>IF(C21="","",COUNTIF('Request Form Fields'!$B$6:$B$66,C21))</f>
        <v/>
      </c>
      <c r="N21" s="14"/>
    </row>
    <row r="22" spans="1:14" x14ac:dyDescent="0.3">
      <c r="A22" s="13" t="str">
        <f t="shared" si="1"/>
        <v/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 t="str">
        <f t="shared" si="0"/>
        <v/>
      </c>
      <c r="M22" s="15" t="str">
        <f>IF(C22="","",COUNTIF('Request Form Fields'!$B$6:$B$66,C22))</f>
        <v/>
      </c>
      <c r="N22" s="14"/>
    </row>
    <row r="23" spans="1:14" x14ac:dyDescent="0.3">
      <c r="A23" s="13" t="str">
        <f t="shared" si="1"/>
        <v/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5" t="str">
        <f t="shared" si="0"/>
        <v/>
      </c>
      <c r="M23" s="15" t="str">
        <f>IF(C23="","",COUNTIF('Request Form Fields'!$B$6:$B$66,C23))</f>
        <v/>
      </c>
      <c r="N23" s="14"/>
    </row>
    <row r="24" spans="1:14" x14ac:dyDescent="0.3">
      <c r="A24" s="13" t="str">
        <f t="shared" si="1"/>
        <v/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5" t="str">
        <f t="shared" si="0"/>
        <v/>
      </c>
      <c r="M24" s="15" t="str">
        <f>IF(C24="","",COUNTIF('Request Form Fields'!$B$6:$B$66,C24))</f>
        <v/>
      </c>
      <c r="N24" s="14"/>
    </row>
    <row r="25" spans="1:14" x14ac:dyDescent="0.3">
      <c r="A25" s="13" t="str">
        <f t="shared" si="1"/>
        <v/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 t="str">
        <f t="shared" si="0"/>
        <v/>
      </c>
      <c r="M25" s="15" t="str">
        <f>IF(C25="","",COUNTIF('Request Form Fields'!$B$6:$B$66,C25))</f>
        <v/>
      </c>
      <c r="N25" s="14"/>
    </row>
    <row r="26" spans="1:14" x14ac:dyDescent="0.3">
      <c r="A26" s="13" t="str">
        <f t="shared" si="1"/>
        <v/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5" t="str">
        <f t="shared" si="0"/>
        <v/>
      </c>
      <c r="M26" s="15" t="str">
        <f>IF(C26="","",COUNTIF('Request Form Fields'!$B$6:$B$66,C26))</f>
        <v/>
      </c>
      <c r="N26" s="14"/>
    </row>
    <row r="27" spans="1:14" x14ac:dyDescent="0.3">
      <c r="A27" s="13" t="str">
        <f t="shared" si="1"/>
        <v/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5" t="str">
        <f t="shared" si="0"/>
        <v/>
      </c>
      <c r="M27" s="15" t="str">
        <f>IF(C27="","",COUNTIF('Request Form Fields'!$B$6:$B$66,C27))</f>
        <v/>
      </c>
      <c r="N27" s="14"/>
    </row>
    <row r="28" spans="1:14" x14ac:dyDescent="0.3">
      <c r="A28" s="13" t="str">
        <f t="shared" si="1"/>
        <v/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5" t="str">
        <f t="shared" si="0"/>
        <v/>
      </c>
      <c r="M28" s="15" t="str">
        <f>IF(C28="","",COUNTIF('Request Form Fields'!$B$6:$B$66,C28))</f>
        <v/>
      </c>
      <c r="N28" s="14"/>
    </row>
    <row r="29" spans="1:14" x14ac:dyDescent="0.3">
      <c r="A29" s="13" t="str">
        <f t="shared" si="1"/>
        <v/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 t="str">
        <f t="shared" si="0"/>
        <v/>
      </c>
      <c r="M29" s="15" t="str">
        <f>IF(C29="","",COUNTIF('Request Form Fields'!$B$6:$B$66,C29))</f>
        <v/>
      </c>
      <c r="N29" s="14"/>
    </row>
    <row r="30" spans="1:14" x14ac:dyDescent="0.3">
      <c r="A30" s="13" t="str">
        <f t="shared" si="1"/>
        <v/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5" t="str">
        <f t="shared" si="0"/>
        <v/>
      </c>
      <c r="M30" s="15" t="str">
        <f>IF(C30="","",COUNTIF('Request Form Fields'!$B$6:$B$66,C30))</f>
        <v/>
      </c>
      <c r="N30" s="14"/>
    </row>
    <row r="31" spans="1:14" x14ac:dyDescent="0.3">
      <c r="A31" s="13" t="str">
        <f t="shared" si="1"/>
        <v/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5" t="str">
        <f t="shared" si="0"/>
        <v/>
      </c>
      <c r="M31" s="15" t="str">
        <f>IF(C31="","",COUNTIF('Request Form Fields'!$B$6:$B$66,C31))</f>
        <v/>
      </c>
      <c r="N31" s="14"/>
    </row>
    <row r="32" spans="1:14" x14ac:dyDescent="0.3">
      <c r="A32" s="13" t="str">
        <f t="shared" si="1"/>
        <v/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5" t="str">
        <f t="shared" si="0"/>
        <v/>
      </c>
      <c r="M32" s="15" t="str">
        <f>IF(C32="","",COUNTIF('Request Form Fields'!$B$6:$B$66,C32))</f>
        <v/>
      </c>
      <c r="N32" s="14"/>
    </row>
    <row r="33" spans="1:14" x14ac:dyDescent="0.3">
      <c r="A33" s="13" t="str">
        <f t="shared" si="1"/>
        <v/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5" t="str">
        <f t="shared" si="0"/>
        <v/>
      </c>
      <c r="M33" s="15" t="str">
        <f>IF(C33="","",COUNTIF('Request Form Fields'!$B$6:$B$66,C33))</f>
        <v/>
      </c>
      <c r="N33" s="14"/>
    </row>
    <row r="34" spans="1:14" x14ac:dyDescent="0.3">
      <c r="A34" s="13" t="str">
        <f t="shared" si="1"/>
        <v/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5" t="str">
        <f t="shared" si="0"/>
        <v/>
      </c>
      <c r="M34" s="15" t="str">
        <f>IF(C34="","",COUNTIF('Request Form Fields'!$B$6:$B$66,C34))</f>
        <v/>
      </c>
      <c r="N34" s="14"/>
    </row>
    <row r="35" spans="1:14" x14ac:dyDescent="0.3">
      <c r="A35" s="13" t="str">
        <f t="shared" si="1"/>
        <v/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5" t="str">
        <f t="shared" si="0"/>
        <v/>
      </c>
      <c r="M35" s="15" t="str">
        <f>IF(C35="","",COUNTIF('Request Form Fields'!$B$6:$B$66,C35))</f>
        <v/>
      </c>
      <c r="N35" s="14"/>
    </row>
    <row r="36" spans="1:14" x14ac:dyDescent="0.3">
      <c r="A36" s="13" t="str">
        <f t="shared" si="1"/>
        <v/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 t="str">
        <f t="shared" si="0"/>
        <v/>
      </c>
      <c r="M36" s="15" t="str">
        <f>IF(C36="","",COUNTIF('Request Form Fields'!$B$6:$B$66,C36))</f>
        <v/>
      </c>
      <c r="N36" s="14"/>
    </row>
    <row r="37" spans="1:14" x14ac:dyDescent="0.3">
      <c r="A37" s="13" t="str">
        <f t="shared" si="1"/>
        <v/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5" t="str">
        <f t="shared" si="0"/>
        <v/>
      </c>
      <c r="M37" s="15" t="str">
        <f>IF(C37="","",COUNTIF('Request Form Fields'!$B$6:$B$66,C37))</f>
        <v/>
      </c>
      <c r="N37" s="14"/>
    </row>
    <row r="38" spans="1:14" x14ac:dyDescent="0.3">
      <c r="A38" s="13" t="str">
        <f t="shared" si="1"/>
        <v/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5" t="str">
        <f t="shared" ref="L38:L66" si="2">IF(C38="","",SUMPRODUCT((TRIM(F38:H38)&lt;&gt;"")*(TRIM(F38:H38)&lt;&gt;"None")*(TRIM(F38:H38)&lt;&gt;"-")))</f>
        <v/>
      </c>
      <c r="M38" s="15" t="str">
        <f>IF(C38="","",COUNTIF('Request Form Fields'!$B$6:$B$66,C38))</f>
        <v/>
      </c>
      <c r="N38" s="14"/>
    </row>
    <row r="39" spans="1:14" x14ac:dyDescent="0.3">
      <c r="A39" s="13" t="str">
        <f t="shared" ref="A39:A66" si="3">IF(C39="","","SVC-"&amp;TEXT(ROW()-5,"00"))</f>
        <v/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5" t="str">
        <f t="shared" si="2"/>
        <v/>
      </c>
      <c r="M39" s="15" t="str">
        <f>IF(C39="","",COUNTIF('Request Form Fields'!$B$6:$B$66,C39))</f>
        <v/>
      </c>
      <c r="N39" s="14"/>
    </row>
    <row r="40" spans="1:14" x14ac:dyDescent="0.3">
      <c r="A40" s="13" t="str">
        <f t="shared" si="3"/>
        <v/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5" t="str">
        <f t="shared" si="2"/>
        <v/>
      </c>
      <c r="M40" s="15" t="str">
        <f>IF(C40="","",COUNTIF('Request Form Fields'!$B$6:$B$66,C40))</f>
        <v/>
      </c>
      <c r="N40" s="14"/>
    </row>
    <row r="41" spans="1:14" x14ac:dyDescent="0.3">
      <c r="A41" s="13" t="str">
        <f t="shared" si="3"/>
        <v/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5" t="str">
        <f t="shared" si="2"/>
        <v/>
      </c>
      <c r="M41" s="15" t="str">
        <f>IF(C41="","",COUNTIF('Request Form Fields'!$B$6:$B$66,C41))</f>
        <v/>
      </c>
      <c r="N41" s="14"/>
    </row>
    <row r="42" spans="1:14" x14ac:dyDescent="0.3">
      <c r="A42" s="13" t="str">
        <f t="shared" si="3"/>
        <v/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5" t="str">
        <f t="shared" si="2"/>
        <v/>
      </c>
      <c r="M42" s="15" t="str">
        <f>IF(C42="","",COUNTIF('Request Form Fields'!$B$6:$B$66,C42))</f>
        <v/>
      </c>
      <c r="N42" s="14"/>
    </row>
    <row r="43" spans="1:14" x14ac:dyDescent="0.3">
      <c r="A43" s="13" t="str">
        <f t="shared" si="3"/>
        <v/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5" t="str">
        <f t="shared" si="2"/>
        <v/>
      </c>
      <c r="M43" s="15" t="str">
        <f>IF(C43="","",COUNTIF('Request Form Fields'!$B$6:$B$66,C43))</f>
        <v/>
      </c>
      <c r="N43" s="14"/>
    </row>
    <row r="44" spans="1:14" x14ac:dyDescent="0.3">
      <c r="A44" s="13" t="str">
        <f t="shared" si="3"/>
        <v/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5" t="str">
        <f t="shared" si="2"/>
        <v/>
      </c>
      <c r="M44" s="15" t="str">
        <f>IF(C44="","",COUNTIF('Request Form Fields'!$B$6:$B$66,C44))</f>
        <v/>
      </c>
      <c r="N44" s="14"/>
    </row>
    <row r="45" spans="1:14" x14ac:dyDescent="0.3">
      <c r="A45" s="13" t="str">
        <f t="shared" si="3"/>
        <v/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5" t="str">
        <f t="shared" si="2"/>
        <v/>
      </c>
      <c r="M45" s="15" t="str">
        <f>IF(C45="","",COUNTIF('Request Form Fields'!$B$6:$B$66,C45))</f>
        <v/>
      </c>
      <c r="N45" s="14"/>
    </row>
    <row r="46" spans="1:14" x14ac:dyDescent="0.3">
      <c r="A46" s="13" t="str">
        <f t="shared" si="3"/>
        <v/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5" t="str">
        <f t="shared" si="2"/>
        <v/>
      </c>
      <c r="M46" s="15" t="str">
        <f>IF(C46="","",COUNTIF('Request Form Fields'!$B$6:$B$66,C46))</f>
        <v/>
      </c>
      <c r="N46" s="14"/>
    </row>
    <row r="47" spans="1:14" x14ac:dyDescent="0.3">
      <c r="A47" s="13" t="str">
        <f t="shared" si="3"/>
        <v/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5" t="str">
        <f t="shared" si="2"/>
        <v/>
      </c>
      <c r="M47" s="15" t="str">
        <f>IF(C47="","",COUNTIF('Request Form Fields'!$B$6:$B$66,C47))</f>
        <v/>
      </c>
      <c r="N47" s="14"/>
    </row>
    <row r="48" spans="1:14" x14ac:dyDescent="0.3">
      <c r="A48" s="13" t="str">
        <f t="shared" si="3"/>
        <v/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5" t="str">
        <f t="shared" si="2"/>
        <v/>
      </c>
      <c r="M48" s="15" t="str">
        <f>IF(C48="","",COUNTIF('Request Form Fields'!$B$6:$B$66,C48))</f>
        <v/>
      </c>
      <c r="N48" s="14"/>
    </row>
    <row r="49" spans="1:14" x14ac:dyDescent="0.3">
      <c r="A49" s="13" t="str">
        <f t="shared" si="3"/>
        <v/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5" t="str">
        <f t="shared" si="2"/>
        <v/>
      </c>
      <c r="M49" s="15" t="str">
        <f>IF(C49="","",COUNTIF('Request Form Fields'!$B$6:$B$66,C49))</f>
        <v/>
      </c>
      <c r="N49" s="14"/>
    </row>
    <row r="50" spans="1:14" x14ac:dyDescent="0.3">
      <c r="A50" s="13" t="str">
        <f t="shared" si="3"/>
        <v/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5" t="str">
        <f t="shared" si="2"/>
        <v/>
      </c>
      <c r="M50" s="15" t="str">
        <f>IF(C50="","",COUNTIF('Request Form Fields'!$B$6:$B$66,C50))</f>
        <v/>
      </c>
      <c r="N50" s="14"/>
    </row>
    <row r="51" spans="1:14" x14ac:dyDescent="0.3">
      <c r="A51" s="13" t="str">
        <f t="shared" si="3"/>
        <v/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5" t="str">
        <f t="shared" si="2"/>
        <v/>
      </c>
      <c r="M51" s="15" t="str">
        <f>IF(C51="","",COUNTIF('Request Form Fields'!$B$6:$B$66,C51))</f>
        <v/>
      </c>
      <c r="N51" s="14"/>
    </row>
    <row r="52" spans="1:14" x14ac:dyDescent="0.3">
      <c r="A52" s="13" t="str">
        <f t="shared" si="3"/>
        <v/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5" t="str">
        <f t="shared" si="2"/>
        <v/>
      </c>
      <c r="M52" s="15" t="str">
        <f>IF(C52="","",COUNTIF('Request Form Fields'!$B$6:$B$66,C52))</f>
        <v/>
      </c>
      <c r="N52" s="14"/>
    </row>
    <row r="53" spans="1:14" x14ac:dyDescent="0.3">
      <c r="A53" s="13" t="str">
        <f t="shared" si="3"/>
        <v/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 t="str">
        <f t="shared" si="2"/>
        <v/>
      </c>
      <c r="M53" s="15" t="str">
        <f>IF(C53="","",COUNTIF('Request Form Fields'!$B$6:$B$66,C53))</f>
        <v/>
      </c>
      <c r="N53" s="14"/>
    </row>
    <row r="54" spans="1:14" x14ac:dyDescent="0.3">
      <c r="A54" s="13" t="str">
        <f t="shared" si="3"/>
        <v/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5" t="str">
        <f t="shared" si="2"/>
        <v/>
      </c>
      <c r="M54" s="15" t="str">
        <f>IF(C54="","",COUNTIF('Request Form Fields'!$B$6:$B$66,C54))</f>
        <v/>
      </c>
      <c r="N54" s="14"/>
    </row>
    <row r="55" spans="1:14" x14ac:dyDescent="0.3">
      <c r="A55" s="13" t="str">
        <f t="shared" si="3"/>
        <v/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5" t="str">
        <f t="shared" si="2"/>
        <v/>
      </c>
      <c r="M55" s="15" t="str">
        <f>IF(C55="","",COUNTIF('Request Form Fields'!$B$6:$B$66,C55))</f>
        <v/>
      </c>
      <c r="N55" s="14"/>
    </row>
    <row r="56" spans="1:14" x14ac:dyDescent="0.3">
      <c r="A56" s="13" t="str">
        <f t="shared" si="3"/>
        <v/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5" t="str">
        <f t="shared" si="2"/>
        <v/>
      </c>
      <c r="M56" s="15" t="str">
        <f>IF(C56="","",COUNTIF('Request Form Fields'!$B$6:$B$66,C56))</f>
        <v/>
      </c>
      <c r="N56" s="14"/>
    </row>
    <row r="57" spans="1:14" x14ac:dyDescent="0.3">
      <c r="A57" s="13" t="str">
        <f t="shared" si="3"/>
        <v/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5" t="str">
        <f t="shared" si="2"/>
        <v/>
      </c>
      <c r="M57" s="15" t="str">
        <f>IF(C57="","",COUNTIF('Request Form Fields'!$B$6:$B$66,C57))</f>
        <v/>
      </c>
      <c r="N57" s="14"/>
    </row>
    <row r="58" spans="1:14" x14ac:dyDescent="0.3">
      <c r="A58" s="13" t="str">
        <f t="shared" si="3"/>
        <v/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" t="str">
        <f t="shared" si="2"/>
        <v/>
      </c>
      <c r="M58" s="15" t="str">
        <f>IF(C58="","",COUNTIF('Request Form Fields'!$B$6:$B$66,C58))</f>
        <v/>
      </c>
      <c r="N58" s="14"/>
    </row>
    <row r="59" spans="1:14" x14ac:dyDescent="0.3">
      <c r="A59" s="13" t="str">
        <f t="shared" si="3"/>
        <v/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5" t="str">
        <f t="shared" si="2"/>
        <v/>
      </c>
      <c r="M59" s="15" t="str">
        <f>IF(C59="","",COUNTIF('Request Form Fields'!$B$6:$B$66,C59))</f>
        <v/>
      </c>
      <c r="N59" s="14"/>
    </row>
    <row r="60" spans="1:14" x14ac:dyDescent="0.3">
      <c r="A60" s="13" t="str">
        <f t="shared" si="3"/>
        <v/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5" t="str">
        <f t="shared" si="2"/>
        <v/>
      </c>
      <c r="M60" s="15" t="str">
        <f>IF(C60="","",COUNTIF('Request Form Fields'!$B$6:$B$66,C60))</f>
        <v/>
      </c>
      <c r="N60" s="14"/>
    </row>
    <row r="61" spans="1:14" x14ac:dyDescent="0.3">
      <c r="A61" s="13" t="str">
        <f t="shared" si="3"/>
        <v/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5" t="str">
        <f t="shared" si="2"/>
        <v/>
      </c>
      <c r="M61" s="15" t="str">
        <f>IF(C61="","",COUNTIF('Request Form Fields'!$B$6:$B$66,C61))</f>
        <v/>
      </c>
      <c r="N61" s="14"/>
    </row>
    <row r="62" spans="1:14" x14ac:dyDescent="0.3">
      <c r="A62" s="13" t="str">
        <f t="shared" si="3"/>
        <v/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5" t="str">
        <f t="shared" si="2"/>
        <v/>
      </c>
      <c r="M62" s="15" t="str">
        <f>IF(C62="","",COUNTIF('Request Form Fields'!$B$6:$B$66,C62))</f>
        <v/>
      </c>
      <c r="N62" s="14"/>
    </row>
    <row r="63" spans="1:14" x14ac:dyDescent="0.3">
      <c r="A63" s="13" t="str">
        <f t="shared" si="3"/>
        <v/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5" t="str">
        <f t="shared" si="2"/>
        <v/>
      </c>
      <c r="M63" s="15" t="str">
        <f>IF(C63="","",COUNTIF('Request Form Fields'!$B$6:$B$66,C63))</f>
        <v/>
      </c>
      <c r="N63" s="14"/>
    </row>
    <row r="64" spans="1:14" x14ac:dyDescent="0.3">
      <c r="A64" s="13" t="str">
        <f t="shared" si="3"/>
        <v/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5" t="str">
        <f t="shared" si="2"/>
        <v/>
      </c>
      <c r="M64" s="15" t="str">
        <f>IF(C64="","",COUNTIF('Request Form Fields'!$B$6:$B$66,C64))</f>
        <v/>
      </c>
      <c r="N64" s="14"/>
    </row>
    <row r="65" spans="1:14" x14ac:dyDescent="0.3">
      <c r="A65" s="13" t="str">
        <f t="shared" si="3"/>
        <v/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5" t="str">
        <f t="shared" si="2"/>
        <v/>
      </c>
      <c r="M65" s="15" t="str">
        <f>IF(C65="","",COUNTIF('Request Form Fields'!$B$6:$B$66,C65))</f>
        <v/>
      </c>
      <c r="N65" s="14"/>
    </row>
    <row r="66" spans="1:14" x14ac:dyDescent="0.3">
      <c r="A66" s="13" t="str">
        <f t="shared" si="3"/>
        <v/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5" t="str">
        <f t="shared" si="2"/>
        <v/>
      </c>
      <c r="M66" s="15" t="str">
        <f>IF(C66="","",COUNTIF('Request Form Fields'!$B$6:$B$66,C66))</f>
        <v/>
      </c>
      <c r="N66" s="14"/>
    </row>
  </sheetData>
  <mergeCells count="2">
    <mergeCell ref="B1:N1"/>
    <mergeCell ref="B2:N2"/>
  </mergeCells>
  <dataValidations count="1">
    <dataValidation type="list" allowBlank="1" errorTitle="Pick from the list" error="Choose a value from the dropdown, or add it to the list first." sqref="E7:E66">
      <formula1>Requesters</formula1>
    </dataValidation>
  </dataValidation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24638"/>
  </sheetPr>
  <dimension ref="A1:L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0" customWidth="1"/>
    <col min="3" max="3" width="8" customWidth="1"/>
    <col min="4" max="4" width="30" customWidth="1"/>
    <col min="5" max="5" width="26" customWidth="1"/>
    <col min="6" max="6" width="24" customWidth="1"/>
    <col min="7" max="7" width="11" customWidth="1"/>
    <col min="8" max="8" width="36" customWidth="1"/>
    <col min="9" max="9" width="34" customWidth="1"/>
    <col min="10" max="10" width="18" customWidth="1"/>
    <col min="11" max="11" width="34" customWidth="1"/>
    <col min="12" max="12" width="28" customWidth="1"/>
  </cols>
  <sheetData>
    <row r="1" spans="1:12" ht="43.95" customHeight="1" x14ac:dyDescent="0.3">
      <c r="B1" s="23" t="s">
        <v>14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2.05" customHeight="1" x14ac:dyDescent="0.3">
      <c r="B2" s="25" t="s">
        <v>69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x14ac:dyDescent="0.3">
      <c r="A4" s="9" t="s">
        <v>70</v>
      </c>
    </row>
    <row r="5" spans="1:12" ht="48" customHeight="1" x14ac:dyDescent="0.3">
      <c r="A5" s="10" t="s">
        <v>71</v>
      </c>
      <c r="B5" s="10" t="s">
        <v>46</v>
      </c>
      <c r="C5" s="10" t="s">
        <v>72</v>
      </c>
      <c r="D5" s="10" t="s">
        <v>73</v>
      </c>
      <c r="E5" s="10" t="s">
        <v>74</v>
      </c>
      <c r="F5" s="10" t="s">
        <v>75</v>
      </c>
      <c r="G5" s="10" t="s">
        <v>76</v>
      </c>
      <c r="H5" s="10" t="s">
        <v>77</v>
      </c>
      <c r="I5" s="10" t="s">
        <v>78</v>
      </c>
      <c r="J5" s="10" t="s">
        <v>79</v>
      </c>
      <c r="K5" s="10" t="s">
        <v>80</v>
      </c>
      <c r="L5" s="10" t="s">
        <v>57</v>
      </c>
    </row>
    <row r="6" spans="1:12" ht="26.4" x14ac:dyDescent="0.3">
      <c r="A6" s="11" t="s">
        <v>81</v>
      </c>
      <c r="B6" s="11" t="s">
        <v>60</v>
      </c>
      <c r="C6" s="11">
        <v>1</v>
      </c>
      <c r="D6" s="11" t="s">
        <v>82</v>
      </c>
      <c r="E6" s="11" t="s">
        <v>83</v>
      </c>
      <c r="F6" s="11" t="s">
        <v>84</v>
      </c>
      <c r="G6" s="11" t="s">
        <v>85</v>
      </c>
      <c r="H6" s="11" t="s">
        <v>86</v>
      </c>
      <c r="I6" s="11" t="s">
        <v>87</v>
      </c>
      <c r="J6" s="11" t="s">
        <v>88</v>
      </c>
      <c r="K6" s="11" t="str">
        <f t="shared" ref="K6:K37" si="0">IF(F6="","",IFERROR(INDEX(JiraField,MATCH(F6,FieldType,0)),"Ejada to review"))</f>
        <v>Select List (single choice)</v>
      </c>
      <c r="L6" s="11" t="s">
        <v>89</v>
      </c>
    </row>
    <row r="7" spans="1:12" x14ac:dyDescent="0.3">
      <c r="A7" s="13" t="str">
        <f t="shared" ref="A7:A38" si="1">IF(D7="","","FLD-"&amp;TEXT(ROW()-5,"000"))</f>
        <v/>
      </c>
      <c r="B7" s="14"/>
      <c r="C7" s="14"/>
      <c r="D7" s="14"/>
      <c r="E7" s="14"/>
      <c r="F7" s="14"/>
      <c r="G7" s="14"/>
      <c r="H7" s="14"/>
      <c r="I7" s="14"/>
      <c r="J7" s="14"/>
      <c r="K7" s="13" t="str">
        <f t="shared" si="0"/>
        <v/>
      </c>
      <c r="L7" s="14"/>
    </row>
    <row r="8" spans="1:12" x14ac:dyDescent="0.3">
      <c r="A8" s="13" t="str">
        <f t="shared" si="1"/>
        <v/>
      </c>
      <c r="B8" s="14"/>
      <c r="C8" s="14"/>
      <c r="D8" s="14"/>
      <c r="E8" s="14"/>
      <c r="F8" s="14"/>
      <c r="G8" s="14"/>
      <c r="H8" s="14"/>
      <c r="I8" s="14"/>
      <c r="J8" s="14"/>
      <c r="K8" s="13" t="str">
        <f t="shared" si="0"/>
        <v/>
      </c>
      <c r="L8" s="14"/>
    </row>
    <row r="9" spans="1:12" x14ac:dyDescent="0.3">
      <c r="A9" s="13" t="str">
        <f t="shared" si="1"/>
        <v/>
      </c>
      <c r="B9" s="14"/>
      <c r="C9" s="14"/>
      <c r="D9" s="14"/>
      <c r="E9" s="14"/>
      <c r="F9" s="14"/>
      <c r="G9" s="14"/>
      <c r="H9" s="14"/>
      <c r="I9" s="14"/>
      <c r="J9" s="14"/>
      <c r="K9" s="13" t="str">
        <f t="shared" si="0"/>
        <v/>
      </c>
      <c r="L9" s="14"/>
    </row>
    <row r="10" spans="1:12" x14ac:dyDescent="0.3">
      <c r="A10" s="13" t="str">
        <f t="shared" si="1"/>
        <v/>
      </c>
      <c r="B10" s="14"/>
      <c r="C10" s="14"/>
      <c r="D10" s="14"/>
      <c r="E10" s="14"/>
      <c r="F10" s="14"/>
      <c r="G10" s="14"/>
      <c r="H10" s="14"/>
      <c r="I10" s="14"/>
      <c r="J10" s="14"/>
      <c r="K10" s="13" t="str">
        <f t="shared" si="0"/>
        <v/>
      </c>
      <c r="L10" s="14"/>
    </row>
    <row r="11" spans="1:12" x14ac:dyDescent="0.3">
      <c r="A11" s="13" t="str">
        <f t="shared" si="1"/>
        <v/>
      </c>
      <c r="B11" s="14"/>
      <c r="C11" s="14"/>
      <c r="D11" s="14"/>
      <c r="E11" s="14"/>
      <c r="F11" s="14"/>
      <c r="G11" s="14"/>
      <c r="H11" s="14"/>
      <c r="I11" s="14"/>
      <c r="J11" s="14"/>
      <c r="K11" s="13" t="str">
        <f t="shared" si="0"/>
        <v/>
      </c>
      <c r="L11" s="14"/>
    </row>
    <row r="12" spans="1:12" x14ac:dyDescent="0.3">
      <c r="A12" s="13" t="str">
        <f t="shared" si="1"/>
        <v/>
      </c>
      <c r="B12" s="14"/>
      <c r="C12" s="14"/>
      <c r="D12" s="14"/>
      <c r="E12" s="14"/>
      <c r="F12" s="14"/>
      <c r="G12" s="14"/>
      <c r="H12" s="14"/>
      <c r="I12" s="14"/>
      <c r="J12" s="14"/>
      <c r="K12" s="13" t="str">
        <f t="shared" si="0"/>
        <v/>
      </c>
      <c r="L12" s="14"/>
    </row>
    <row r="13" spans="1:12" x14ac:dyDescent="0.3">
      <c r="A13" s="13" t="str">
        <f t="shared" si="1"/>
        <v/>
      </c>
      <c r="B13" s="14"/>
      <c r="C13" s="14"/>
      <c r="D13" s="14"/>
      <c r="E13" s="14"/>
      <c r="F13" s="14"/>
      <c r="G13" s="14"/>
      <c r="H13" s="14"/>
      <c r="I13" s="14"/>
      <c r="J13" s="14"/>
      <c r="K13" s="13" t="str">
        <f t="shared" si="0"/>
        <v/>
      </c>
      <c r="L13" s="14"/>
    </row>
    <row r="14" spans="1:12" x14ac:dyDescent="0.3">
      <c r="A14" s="13" t="str">
        <f t="shared" si="1"/>
        <v/>
      </c>
      <c r="B14" s="14"/>
      <c r="C14" s="14"/>
      <c r="D14" s="14"/>
      <c r="E14" s="14"/>
      <c r="F14" s="14"/>
      <c r="G14" s="14"/>
      <c r="H14" s="14"/>
      <c r="I14" s="14"/>
      <c r="J14" s="14"/>
      <c r="K14" s="13" t="str">
        <f t="shared" si="0"/>
        <v/>
      </c>
      <c r="L14" s="14"/>
    </row>
    <row r="15" spans="1:12" x14ac:dyDescent="0.3">
      <c r="A15" s="13" t="str">
        <f t="shared" si="1"/>
        <v/>
      </c>
      <c r="B15" s="14"/>
      <c r="C15" s="14"/>
      <c r="D15" s="14"/>
      <c r="E15" s="14"/>
      <c r="F15" s="14"/>
      <c r="G15" s="14"/>
      <c r="H15" s="14"/>
      <c r="I15" s="14"/>
      <c r="J15" s="14"/>
      <c r="K15" s="13" t="str">
        <f t="shared" si="0"/>
        <v/>
      </c>
      <c r="L15" s="14"/>
    </row>
    <row r="16" spans="1:12" x14ac:dyDescent="0.3">
      <c r="A16" s="13" t="str">
        <f t="shared" si="1"/>
        <v/>
      </c>
      <c r="B16" s="14"/>
      <c r="C16" s="14"/>
      <c r="D16" s="14"/>
      <c r="E16" s="14"/>
      <c r="F16" s="14"/>
      <c r="G16" s="14"/>
      <c r="H16" s="14"/>
      <c r="I16" s="14"/>
      <c r="J16" s="14"/>
      <c r="K16" s="13" t="str">
        <f t="shared" si="0"/>
        <v/>
      </c>
      <c r="L16" s="14"/>
    </row>
    <row r="17" spans="1:12" x14ac:dyDescent="0.3">
      <c r="A17" s="13" t="str">
        <f t="shared" si="1"/>
        <v/>
      </c>
      <c r="B17" s="14"/>
      <c r="C17" s="14"/>
      <c r="D17" s="14"/>
      <c r="E17" s="14"/>
      <c r="F17" s="14"/>
      <c r="G17" s="14"/>
      <c r="H17" s="14"/>
      <c r="I17" s="14"/>
      <c r="J17" s="14"/>
      <c r="K17" s="13" t="str">
        <f t="shared" si="0"/>
        <v/>
      </c>
      <c r="L17" s="14"/>
    </row>
    <row r="18" spans="1:12" x14ac:dyDescent="0.3">
      <c r="A18" s="13" t="str">
        <f t="shared" si="1"/>
        <v/>
      </c>
      <c r="B18" s="14"/>
      <c r="C18" s="14"/>
      <c r="D18" s="14"/>
      <c r="E18" s="14"/>
      <c r="F18" s="14"/>
      <c r="G18" s="14"/>
      <c r="H18" s="14"/>
      <c r="I18" s="14"/>
      <c r="J18" s="14"/>
      <c r="K18" s="13" t="str">
        <f t="shared" si="0"/>
        <v/>
      </c>
      <c r="L18" s="14"/>
    </row>
    <row r="19" spans="1:12" x14ac:dyDescent="0.3">
      <c r="A19" s="13" t="str">
        <f t="shared" si="1"/>
        <v/>
      </c>
      <c r="B19" s="14"/>
      <c r="C19" s="14"/>
      <c r="D19" s="14"/>
      <c r="E19" s="14"/>
      <c r="F19" s="14"/>
      <c r="G19" s="14"/>
      <c r="H19" s="14"/>
      <c r="I19" s="14"/>
      <c r="J19" s="14"/>
      <c r="K19" s="13" t="str">
        <f t="shared" si="0"/>
        <v/>
      </c>
      <c r="L19" s="14"/>
    </row>
    <row r="20" spans="1:12" x14ac:dyDescent="0.3">
      <c r="A20" s="13" t="str">
        <f t="shared" si="1"/>
        <v/>
      </c>
      <c r="B20" s="14"/>
      <c r="C20" s="14"/>
      <c r="D20" s="14"/>
      <c r="E20" s="14"/>
      <c r="F20" s="14"/>
      <c r="G20" s="14"/>
      <c r="H20" s="14"/>
      <c r="I20" s="14"/>
      <c r="J20" s="14"/>
      <c r="K20" s="13" t="str">
        <f t="shared" si="0"/>
        <v/>
      </c>
      <c r="L20" s="14"/>
    </row>
    <row r="21" spans="1:12" x14ac:dyDescent="0.3">
      <c r="A21" s="13" t="str">
        <f t="shared" si="1"/>
        <v/>
      </c>
      <c r="B21" s="14"/>
      <c r="C21" s="14"/>
      <c r="D21" s="14"/>
      <c r="E21" s="14"/>
      <c r="F21" s="14"/>
      <c r="G21" s="14"/>
      <c r="H21" s="14"/>
      <c r="I21" s="14"/>
      <c r="J21" s="14"/>
      <c r="K21" s="13" t="str">
        <f t="shared" si="0"/>
        <v/>
      </c>
      <c r="L21" s="14"/>
    </row>
    <row r="22" spans="1:12" x14ac:dyDescent="0.3">
      <c r="A22" s="13" t="str">
        <f t="shared" si="1"/>
        <v/>
      </c>
      <c r="B22" s="14"/>
      <c r="C22" s="14"/>
      <c r="D22" s="14"/>
      <c r="E22" s="14"/>
      <c r="F22" s="14"/>
      <c r="G22" s="14"/>
      <c r="H22" s="14"/>
      <c r="I22" s="14"/>
      <c r="J22" s="14"/>
      <c r="K22" s="13" t="str">
        <f t="shared" si="0"/>
        <v/>
      </c>
      <c r="L22" s="14"/>
    </row>
    <row r="23" spans="1:12" x14ac:dyDescent="0.3">
      <c r="A23" s="13" t="str">
        <f t="shared" si="1"/>
        <v/>
      </c>
      <c r="B23" s="14"/>
      <c r="C23" s="14"/>
      <c r="D23" s="14"/>
      <c r="E23" s="14"/>
      <c r="F23" s="14"/>
      <c r="G23" s="14"/>
      <c r="H23" s="14"/>
      <c r="I23" s="14"/>
      <c r="J23" s="14"/>
      <c r="K23" s="13" t="str">
        <f t="shared" si="0"/>
        <v/>
      </c>
      <c r="L23" s="14"/>
    </row>
    <row r="24" spans="1:12" x14ac:dyDescent="0.3">
      <c r="A24" s="13" t="str">
        <f t="shared" si="1"/>
        <v/>
      </c>
      <c r="B24" s="14"/>
      <c r="C24" s="14"/>
      <c r="D24" s="14"/>
      <c r="E24" s="14"/>
      <c r="F24" s="14"/>
      <c r="G24" s="14"/>
      <c r="H24" s="14"/>
      <c r="I24" s="14"/>
      <c r="J24" s="14"/>
      <c r="K24" s="13" t="str">
        <f t="shared" si="0"/>
        <v/>
      </c>
      <c r="L24" s="14"/>
    </row>
    <row r="25" spans="1:12" x14ac:dyDescent="0.3">
      <c r="A25" s="13" t="str">
        <f t="shared" si="1"/>
        <v/>
      </c>
      <c r="B25" s="14"/>
      <c r="C25" s="14"/>
      <c r="D25" s="14"/>
      <c r="E25" s="14"/>
      <c r="F25" s="14"/>
      <c r="G25" s="14"/>
      <c r="H25" s="14"/>
      <c r="I25" s="14"/>
      <c r="J25" s="14"/>
      <c r="K25" s="13" t="str">
        <f t="shared" si="0"/>
        <v/>
      </c>
      <c r="L25" s="14"/>
    </row>
    <row r="26" spans="1:12" x14ac:dyDescent="0.3">
      <c r="A26" s="13" t="str">
        <f t="shared" si="1"/>
        <v/>
      </c>
      <c r="B26" s="14"/>
      <c r="C26" s="14"/>
      <c r="D26" s="14"/>
      <c r="E26" s="14"/>
      <c r="F26" s="14"/>
      <c r="G26" s="14"/>
      <c r="H26" s="14"/>
      <c r="I26" s="14"/>
      <c r="J26" s="14"/>
      <c r="K26" s="13" t="str">
        <f t="shared" si="0"/>
        <v/>
      </c>
      <c r="L26" s="14"/>
    </row>
    <row r="27" spans="1:12" x14ac:dyDescent="0.3">
      <c r="A27" s="13" t="str">
        <f t="shared" si="1"/>
        <v/>
      </c>
      <c r="B27" s="14"/>
      <c r="C27" s="14"/>
      <c r="D27" s="14"/>
      <c r="E27" s="14"/>
      <c r="F27" s="14"/>
      <c r="G27" s="14"/>
      <c r="H27" s="14"/>
      <c r="I27" s="14"/>
      <c r="J27" s="14"/>
      <c r="K27" s="13" t="str">
        <f t="shared" si="0"/>
        <v/>
      </c>
      <c r="L27" s="14"/>
    </row>
    <row r="28" spans="1:12" x14ac:dyDescent="0.3">
      <c r="A28" s="13" t="str">
        <f t="shared" si="1"/>
        <v/>
      </c>
      <c r="B28" s="14"/>
      <c r="C28" s="14"/>
      <c r="D28" s="14"/>
      <c r="E28" s="14"/>
      <c r="F28" s="14"/>
      <c r="G28" s="14"/>
      <c r="H28" s="14"/>
      <c r="I28" s="14"/>
      <c r="J28" s="14"/>
      <c r="K28" s="13" t="str">
        <f t="shared" si="0"/>
        <v/>
      </c>
      <c r="L28" s="14"/>
    </row>
    <row r="29" spans="1:12" x14ac:dyDescent="0.3">
      <c r="A29" s="13" t="str">
        <f t="shared" si="1"/>
        <v/>
      </c>
      <c r="B29" s="14"/>
      <c r="C29" s="14"/>
      <c r="D29" s="14"/>
      <c r="E29" s="14"/>
      <c r="F29" s="14"/>
      <c r="G29" s="14"/>
      <c r="H29" s="14"/>
      <c r="I29" s="14"/>
      <c r="J29" s="14"/>
      <c r="K29" s="13" t="str">
        <f t="shared" si="0"/>
        <v/>
      </c>
      <c r="L29" s="14"/>
    </row>
    <row r="30" spans="1:12" x14ac:dyDescent="0.3">
      <c r="A30" s="13" t="str">
        <f t="shared" si="1"/>
        <v/>
      </c>
      <c r="B30" s="14"/>
      <c r="C30" s="14"/>
      <c r="D30" s="14"/>
      <c r="E30" s="14"/>
      <c r="F30" s="14"/>
      <c r="G30" s="14"/>
      <c r="H30" s="14"/>
      <c r="I30" s="14"/>
      <c r="J30" s="14"/>
      <c r="K30" s="13" t="str">
        <f t="shared" si="0"/>
        <v/>
      </c>
      <c r="L30" s="14"/>
    </row>
    <row r="31" spans="1:12" x14ac:dyDescent="0.3">
      <c r="A31" s="13" t="str">
        <f t="shared" si="1"/>
        <v/>
      </c>
      <c r="B31" s="14"/>
      <c r="C31" s="14"/>
      <c r="D31" s="14"/>
      <c r="E31" s="14"/>
      <c r="F31" s="14"/>
      <c r="G31" s="14"/>
      <c r="H31" s="14"/>
      <c r="I31" s="14"/>
      <c r="J31" s="14"/>
      <c r="K31" s="13" t="str">
        <f t="shared" si="0"/>
        <v/>
      </c>
      <c r="L31" s="14"/>
    </row>
    <row r="32" spans="1:12" x14ac:dyDescent="0.3">
      <c r="A32" s="13" t="str">
        <f t="shared" si="1"/>
        <v/>
      </c>
      <c r="B32" s="14"/>
      <c r="C32" s="14"/>
      <c r="D32" s="14"/>
      <c r="E32" s="14"/>
      <c r="F32" s="14"/>
      <c r="G32" s="14"/>
      <c r="H32" s="14"/>
      <c r="I32" s="14"/>
      <c r="J32" s="14"/>
      <c r="K32" s="13" t="str">
        <f t="shared" si="0"/>
        <v/>
      </c>
      <c r="L32" s="14"/>
    </row>
    <row r="33" spans="1:12" x14ac:dyDescent="0.3">
      <c r="A33" s="13" t="str">
        <f t="shared" si="1"/>
        <v/>
      </c>
      <c r="B33" s="14"/>
      <c r="C33" s="14"/>
      <c r="D33" s="14"/>
      <c r="E33" s="14"/>
      <c r="F33" s="14"/>
      <c r="G33" s="14"/>
      <c r="H33" s="14"/>
      <c r="I33" s="14"/>
      <c r="J33" s="14"/>
      <c r="K33" s="13" t="str">
        <f t="shared" si="0"/>
        <v/>
      </c>
      <c r="L33" s="14"/>
    </row>
    <row r="34" spans="1:12" x14ac:dyDescent="0.3">
      <c r="A34" s="13" t="str">
        <f t="shared" si="1"/>
        <v/>
      </c>
      <c r="B34" s="14"/>
      <c r="C34" s="14"/>
      <c r="D34" s="14"/>
      <c r="E34" s="14"/>
      <c r="F34" s="14"/>
      <c r="G34" s="14"/>
      <c r="H34" s="14"/>
      <c r="I34" s="14"/>
      <c r="J34" s="14"/>
      <c r="K34" s="13" t="str">
        <f t="shared" si="0"/>
        <v/>
      </c>
      <c r="L34" s="14"/>
    </row>
    <row r="35" spans="1:12" x14ac:dyDescent="0.3">
      <c r="A35" s="13" t="str">
        <f t="shared" si="1"/>
        <v/>
      </c>
      <c r="B35" s="14"/>
      <c r="C35" s="14"/>
      <c r="D35" s="14"/>
      <c r="E35" s="14"/>
      <c r="F35" s="14"/>
      <c r="G35" s="14"/>
      <c r="H35" s="14"/>
      <c r="I35" s="14"/>
      <c r="J35" s="14"/>
      <c r="K35" s="13" t="str">
        <f t="shared" si="0"/>
        <v/>
      </c>
      <c r="L35" s="14"/>
    </row>
    <row r="36" spans="1:12" x14ac:dyDescent="0.3">
      <c r="A36" s="13" t="str">
        <f t="shared" si="1"/>
        <v/>
      </c>
      <c r="B36" s="14"/>
      <c r="C36" s="14"/>
      <c r="D36" s="14"/>
      <c r="E36" s="14"/>
      <c r="F36" s="14"/>
      <c r="G36" s="14"/>
      <c r="H36" s="14"/>
      <c r="I36" s="14"/>
      <c r="J36" s="14"/>
      <c r="K36" s="13" t="str">
        <f t="shared" si="0"/>
        <v/>
      </c>
      <c r="L36" s="14"/>
    </row>
    <row r="37" spans="1:12" x14ac:dyDescent="0.3">
      <c r="A37" s="13" t="str">
        <f t="shared" si="1"/>
        <v/>
      </c>
      <c r="B37" s="14"/>
      <c r="C37" s="14"/>
      <c r="D37" s="14"/>
      <c r="E37" s="14"/>
      <c r="F37" s="14"/>
      <c r="G37" s="14"/>
      <c r="H37" s="14"/>
      <c r="I37" s="14"/>
      <c r="J37" s="14"/>
      <c r="K37" s="13" t="str">
        <f t="shared" si="0"/>
        <v/>
      </c>
      <c r="L37" s="14"/>
    </row>
    <row r="38" spans="1:12" x14ac:dyDescent="0.3">
      <c r="A38" s="13" t="str">
        <f t="shared" si="1"/>
        <v/>
      </c>
      <c r="B38" s="14"/>
      <c r="C38" s="14"/>
      <c r="D38" s="14"/>
      <c r="E38" s="14"/>
      <c r="F38" s="14"/>
      <c r="G38" s="14"/>
      <c r="H38" s="14"/>
      <c r="I38" s="14"/>
      <c r="J38" s="14"/>
      <c r="K38" s="13" t="str">
        <f t="shared" ref="K38:K66" si="2">IF(F38="","",IFERROR(INDEX(JiraField,MATCH(F38,FieldType,0)),"Ejada to review"))</f>
        <v/>
      </c>
      <c r="L38" s="14"/>
    </row>
    <row r="39" spans="1:12" x14ac:dyDescent="0.3">
      <c r="A39" s="13" t="str">
        <f t="shared" ref="A39:A66" si="3">IF(D39="","","FLD-"&amp;TEXT(ROW()-5,"000"))</f>
        <v/>
      </c>
      <c r="B39" s="14"/>
      <c r="C39" s="14"/>
      <c r="D39" s="14"/>
      <c r="E39" s="14"/>
      <c r="F39" s="14"/>
      <c r="G39" s="14"/>
      <c r="H39" s="14"/>
      <c r="I39" s="14"/>
      <c r="J39" s="14"/>
      <c r="K39" s="13" t="str">
        <f t="shared" si="2"/>
        <v/>
      </c>
      <c r="L39" s="14"/>
    </row>
    <row r="40" spans="1:12" x14ac:dyDescent="0.3">
      <c r="A40" s="13" t="str">
        <f t="shared" si="3"/>
        <v/>
      </c>
      <c r="B40" s="14"/>
      <c r="C40" s="14"/>
      <c r="D40" s="14"/>
      <c r="E40" s="14"/>
      <c r="F40" s="14"/>
      <c r="G40" s="14"/>
      <c r="H40" s="14"/>
      <c r="I40" s="14"/>
      <c r="J40" s="14"/>
      <c r="K40" s="13" t="str">
        <f t="shared" si="2"/>
        <v/>
      </c>
      <c r="L40" s="14"/>
    </row>
    <row r="41" spans="1:12" x14ac:dyDescent="0.3">
      <c r="A41" s="13" t="str">
        <f t="shared" si="3"/>
        <v/>
      </c>
      <c r="B41" s="14"/>
      <c r="C41" s="14"/>
      <c r="D41" s="14"/>
      <c r="E41" s="14"/>
      <c r="F41" s="14"/>
      <c r="G41" s="14"/>
      <c r="H41" s="14"/>
      <c r="I41" s="14"/>
      <c r="J41" s="14"/>
      <c r="K41" s="13" t="str">
        <f t="shared" si="2"/>
        <v/>
      </c>
      <c r="L41" s="14"/>
    </row>
    <row r="42" spans="1:12" x14ac:dyDescent="0.3">
      <c r="A42" s="13" t="str">
        <f t="shared" si="3"/>
        <v/>
      </c>
      <c r="B42" s="14"/>
      <c r="C42" s="14"/>
      <c r="D42" s="14"/>
      <c r="E42" s="14"/>
      <c r="F42" s="14"/>
      <c r="G42" s="14"/>
      <c r="H42" s="14"/>
      <c r="I42" s="14"/>
      <c r="J42" s="14"/>
      <c r="K42" s="13" t="str">
        <f t="shared" si="2"/>
        <v/>
      </c>
      <c r="L42" s="14"/>
    </row>
    <row r="43" spans="1:12" x14ac:dyDescent="0.3">
      <c r="A43" s="13" t="str">
        <f t="shared" si="3"/>
        <v/>
      </c>
      <c r="B43" s="14"/>
      <c r="C43" s="14"/>
      <c r="D43" s="14"/>
      <c r="E43" s="14"/>
      <c r="F43" s="14"/>
      <c r="G43" s="14"/>
      <c r="H43" s="14"/>
      <c r="I43" s="14"/>
      <c r="J43" s="14"/>
      <c r="K43" s="13" t="str">
        <f t="shared" si="2"/>
        <v/>
      </c>
      <c r="L43" s="14"/>
    </row>
    <row r="44" spans="1:12" x14ac:dyDescent="0.3">
      <c r="A44" s="13" t="str">
        <f t="shared" si="3"/>
        <v/>
      </c>
      <c r="B44" s="14"/>
      <c r="C44" s="14"/>
      <c r="D44" s="14"/>
      <c r="E44" s="14"/>
      <c r="F44" s="14"/>
      <c r="G44" s="14"/>
      <c r="H44" s="14"/>
      <c r="I44" s="14"/>
      <c r="J44" s="14"/>
      <c r="K44" s="13" t="str">
        <f t="shared" si="2"/>
        <v/>
      </c>
      <c r="L44" s="14"/>
    </row>
    <row r="45" spans="1:12" x14ac:dyDescent="0.3">
      <c r="A45" s="13" t="str">
        <f t="shared" si="3"/>
        <v/>
      </c>
      <c r="B45" s="14"/>
      <c r="C45" s="14"/>
      <c r="D45" s="14"/>
      <c r="E45" s="14"/>
      <c r="F45" s="14"/>
      <c r="G45" s="14"/>
      <c r="H45" s="14"/>
      <c r="I45" s="14"/>
      <c r="J45" s="14"/>
      <c r="K45" s="13" t="str">
        <f t="shared" si="2"/>
        <v/>
      </c>
      <c r="L45" s="14"/>
    </row>
    <row r="46" spans="1:12" x14ac:dyDescent="0.3">
      <c r="A46" s="13" t="str">
        <f t="shared" si="3"/>
        <v/>
      </c>
      <c r="B46" s="14"/>
      <c r="C46" s="14"/>
      <c r="D46" s="14"/>
      <c r="E46" s="14"/>
      <c r="F46" s="14"/>
      <c r="G46" s="14"/>
      <c r="H46" s="14"/>
      <c r="I46" s="14"/>
      <c r="J46" s="14"/>
      <c r="K46" s="13" t="str">
        <f t="shared" si="2"/>
        <v/>
      </c>
      <c r="L46" s="14"/>
    </row>
    <row r="47" spans="1:12" x14ac:dyDescent="0.3">
      <c r="A47" s="13" t="str">
        <f t="shared" si="3"/>
        <v/>
      </c>
      <c r="B47" s="14"/>
      <c r="C47" s="14"/>
      <c r="D47" s="14"/>
      <c r="E47" s="14"/>
      <c r="F47" s="14"/>
      <c r="G47" s="14"/>
      <c r="H47" s="14"/>
      <c r="I47" s="14"/>
      <c r="J47" s="14"/>
      <c r="K47" s="13" t="str">
        <f t="shared" si="2"/>
        <v/>
      </c>
      <c r="L47" s="14"/>
    </row>
    <row r="48" spans="1:12" x14ac:dyDescent="0.3">
      <c r="A48" s="13" t="str">
        <f t="shared" si="3"/>
        <v/>
      </c>
      <c r="B48" s="14"/>
      <c r="C48" s="14"/>
      <c r="D48" s="14"/>
      <c r="E48" s="14"/>
      <c r="F48" s="14"/>
      <c r="G48" s="14"/>
      <c r="H48" s="14"/>
      <c r="I48" s="14"/>
      <c r="J48" s="14"/>
      <c r="K48" s="13" t="str">
        <f t="shared" si="2"/>
        <v/>
      </c>
      <c r="L48" s="14"/>
    </row>
    <row r="49" spans="1:12" x14ac:dyDescent="0.3">
      <c r="A49" s="13" t="str">
        <f t="shared" si="3"/>
        <v/>
      </c>
      <c r="B49" s="14"/>
      <c r="C49" s="14"/>
      <c r="D49" s="14"/>
      <c r="E49" s="14"/>
      <c r="F49" s="14"/>
      <c r="G49" s="14"/>
      <c r="H49" s="14"/>
      <c r="I49" s="14"/>
      <c r="J49" s="14"/>
      <c r="K49" s="13" t="str">
        <f t="shared" si="2"/>
        <v/>
      </c>
      <c r="L49" s="14"/>
    </row>
    <row r="50" spans="1:12" x14ac:dyDescent="0.3">
      <c r="A50" s="13" t="str">
        <f t="shared" si="3"/>
        <v/>
      </c>
      <c r="B50" s="14"/>
      <c r="C50" s="14"/>
      <c r="D50" s="14"/>
      <c r="E50" s="14"/>
      <c r="F50" s="14"/>
      <c r="G50" s="14"/>
      <c r="H50" s="14"/>
      <c r="I50" s="14"/>
      <c r="J50" s="14"/>
      <c r="K50" s="13" t="str">
        <f t="shared" si="2"/>
        <v/>
      </c>
      <c r="L50" s="14"/>
    </row>
    <row r="51" spans="1:12" x14ac:dyDescent="0.3">
      <c r="A51" s="13" t="str">
        <f t="shared" si="3"/>
        <v/>
      </c>
      <c r="B51" s="14"/>
      <c r="C51" s="14"/>
      <c r="D51" s="14"/>
      <c r="E51" s="14"/>
      <c r="F51" s="14"/>
      <c r="G51" s="14"/>
      <c r="H51" s="14"/>
      <c r="I51" s="14"/>
      <c r="J51" s="14"/>
      <c r="K51" s="13" t="str">
        <f t="shared" si="2"/>
        <v/>
      </c>
      <c r="L51" s="14"/>
    </row>
    <row r="52" spans="1:12" x14ac:dyDescent="0.3">
      <c r="A52" s="13" t="str">
        <f t="shared" si="3"/>
        <v/>
      </c>
      <c r="B52" s="14"/>
      <c r="C52" s="14"/>
      <c r="D52" s="14"/>
      <c r="E52" s="14"/>
      <c r="F52" s="14"/>
      <c r="G52" s="14"/>
      <c r="H52" s="14"/>
      <c r="I52" s="14"/>
      <c r="J52" s="14"/>
      <c r="K52" s="13" t="str">
        <f t="shared" si="2"/>
        <v/>
      </c>
      <c r="L52" s="14"/>
    </row>
    <row r="53" spans="1:12" x14ac:dyDescent="0.3">
      <c r="A53" s="13" t="str">
        <f t="shared" si="3"/>
        <v/>
      </c>
      <c r="B53" s="14"/>
      <c r="C53" s="14"/>
      <c r="D53" s="14"/>
      <c r="E53" s="14"/>
      <c r="F53" s="14"/>
      <c r="G53" s="14"/>
      <c r="H53" s="14"/>
      <c r="I53" s="14"/>
      <c r="J53" s="14"/>
      <c r="K53" s="13" t="str">
        <f t="shared" si="2"/>
        <v/>
      </c>
      <c r="L53" s="14"/>
    </row>
    <row r="54" spans="1:12" x14ac:dyDescent="0.3">
      <c r="A54" s="13" t="str">
        <f t="shared" si="3"/>
        <v/>
      </c>
      <c r="B54" s="14"/>
      <c r="C54" s="14"/>
      <c r="D54" s="14"/>
      <c r="E54" s="14"/>
      <c r="F54" s="14"/>
      <c r="G54" s="14"/>
      <c r="H54" s="14"/>
      <c r="I54" s="14"/>
      <c r="J54" s="14"/>
      <c r="K54" s="13" t="str">
        <f t="shared" si="2"/>
        <v/>
      </c>
      <c r="L54" s="14"/>
    </row>
    <row r="55" spans="1:12" x14ac:dyDescent="0.3">
      <c r="A55" s="13" t="str">
        <f t="shared" si="3"/>
        <v/>
      </c>
      <c r="B55" s="14"/>
      <c r="C55" s="14"/>
      <c r="D55" s="14"/>
      <c r="E55" s="14"/>
      <c r="F55" s="14"/>
      <c r="G55" s="14"/>
      <c r="H55" s="14"/>
      <c r="I55" s="14"/>
      <c r="J55" s="14"/>
      <c r="K55" s="13" t="str">
        <f t="shared" si="2"/>
        <v/>
      </c>
      <c r="L55" s="14"/>
    </row>
    <row r="56" spans="1:12" x14ac:dyDescent="0.3">
      <c r="A56" s="13" t="str">
        <f t="shared" si="3"/>
        <v/>
      </c>
      <c r="B56" s="14"/>
      <c r="C56" s="14"/>
      <c r="D56" s="14"/>
      <c r="E56" s="14"/>
      <c r="F56" s="14"/>
      <c r="G56" s="14"/>
      <c r="H56" s="14"/>
      <c r="I56" s="14"/>
      <c r="J56" s="14"/>
      <c r="K56" s="13" t="str">
        <f t="shared" si="2"/>
        <v/>
      </c>
      <c r="L56" s="14"/>
    </row>
    <row r="57" spans="1:12" x14ac:dyDescent="0.3">
      <c r="A57" s="13" t="str">
        <f t="shared" si="3"/>
        <v/>
      </c>
      <c r="B57" s="14"/>
      <c r="C57" s="14"/>
      <c r="D57" s="14"/>
      <c r="E57" s="14"/>
      <c r="F57" s="14"/>
      <c r="G57" s="14"/>
      <c r="H57" s="14"/>
      <c r="I57" s="14"/>
      <c r="J57" s="14"/>
      <c r="K57" s="13" t="str">
        <f t="shared" si="2"/>
        <v/>
      </c>
      <c r="L57" s="14"/>
    </row>
    <row r="58" spans="1:12" x14ac:dyDescent="0.3">
      <c r="A58" s="13" t="str">
        <f t="shared" si="3"/>
        <v/>
      </c>
      <c r="B58" s="14"/>
      <c r="C58" s="14"/>
      <c r="D58" s="14"/>
      <c r="E58" s="14"/>
      <c r="F58" s="14"/>
      <c r="G58" s="14"/>
      <c r="H58" s="14"/>
      <c r="I58" s="14"/>
      <c r="J58" s="14"/>
      <c r="K58" s="13" t="str">
        <f t="shared" si="2"/>
        <v/>
      </c>
      <c r="L58" s="14"/>
    </row>
    <row r="59" spans="1:12" x14ac:dyDescent="0.3">
      <c r="A59" s="13" t="str">
        <f t="shared" si="3"/>
        <v/>
      </c>
      <c r="B59" s="14"/>
      <c r="C59" s="14"/>
      <c r="D59" s="14"/>
      <c r="E59" s="14"/>
      <c r="F59" s="14"/>
      <c r="G59" s="14"/>
      <c r="H59" s="14"/>
      <c r="I59" s="14"/>
      <c r="J59" s="14"/>
      <c r="K59" s="13" t="str">
        <f t="shared" si="2"/>
        <v/>
      </c>
      <c r="L59" s="14"/>
    </row>
    <row r="60" spans="1:12" x14ac:dyDescent="0.3">
      <c r="A60" s="13" t="str">
        <f t="shared" si="3"/>
        <v/>
      </c>
      <c r="B60" s="14"/>
      <c r="C60" s="14"/>
      <c r="D60" s="14"/>
      <c r="E60" s="14"/>
      <c r="F60" s="14"/>
      <c r="G60" s="14"/>
      <c r="H60" s="14"/>
      <c r="I60" s="14"/>
      <c r="J60" s="14"/>
      <c r="K60" s="13" t="str">
        <f t="shared" si="2"/>
        <v/>
      </c>
      <c r="L60" s="14"/>
    </row>
    <row r="61" spans="1:12" x14ac:dyDescent="0.3">
      <c r="A61" s="13" t="str">
        <f t="shared" si="3"/>
        <v/>
      </c>
      <c r="B61" s="14"/>
      <c r="C61" s="14"/>
      <c r="D61" s="14"/>
      <c r="E61" s="14"/>
      <c r="F61" s="14"/>
      <c r="G61" s="14"/>
      <c r="H61" s="14"/>
      <c r="I61" s="14"/>
      <c r="J61" s="14"/>
      <c r="K61" s="13" t="str">
        <f t="shared" si="2"/>
        <v/>
      </c>
      <c r="L61" s="14"/>
    </row>
    <row r="62" spans="1:12" x14ac:dyDescent="0.3">
      <c r="A62" s="13" t="str">
        <f t="shared" si="3"/>
        <v/>
      </c>
      <c r="B62" s="14"/>
      <c r="C62" s="14"/>
      <c r="D62" s="14"/>
      <c r="E62" s="14"/>
      <c r="F62" s="14"/>
      <c r="G62" s="14"/>
      <c r="H62" s="14"/>
      <c r="I62" s="14"/>
      <c r="J62" s="14"/>
      <c r="K62" s="13" t="str">
        <f t="shared" si="2"/>
        <v/>
      </c>
      <c r="L62" s="14"/>
    </row>
    <row r="63" spans="1:12" x14ac:dyDescent="0.3">
      <c r="A63" s="13" t="str">
        <f t="shared" si="3"/>
        <v/>
      </c>
      <c r="B63" s="14"/>
      <c r="C63" s="14"/>
      <c r="D63" s="14"/>
      <c r="E63" s="14"/>
      <c r="F63" s="14"/>
      <c r="G63" s="14"/>
      <c r="H63" s="14"/>
      <c r="I63" s="14"/>
      <c r="J63" s="14"/>
      <c r="K63" s="13" t="str">
        <f t="shared" si="2"/>
        <v/>
      </c>
      <c r="L63" s="14"/>
    </row>
    <row r="64" spans="1:12" x14ac:dyDescent="0.3">
      <c r="A64" s="13" t="str">
        <f t="shared" si="3"/>
        <v/>
      </c>
      <c r="B64" s="14"/>
      <c r="C64" s="14"/>
      <c r="D64" s="14"/>
      <c r="E64" s="14"/>
      <c r="F64" s="14"/>
      <c r="G64" s="14"/>
      <c r="H64" s="14"/>
      <c r="I64" s="14"/>
      <c r="J64" s="14"/>
      <c r="K64" s="13" t="str">
        <f t="shared" si="2"/>
        <v/>
      </c>
      <c r="L64" s="14"/>
    </row>
    <row r="65" spans="1:12" x14ac:dyDescent="0.3">
      <c r="A65" s="13" t="str">
        <f t="shared" si="3"/>
        <v/>
      </c>
      <c r="B65" s="14"/>
      <c r="C65" s="14"/>
      <c r="D65" s="14"/>
      <c r="E65" s="14"/>
      <c r="F65" s="14"/>
      <c r="G65" s="14"/>
      <c r="H65" s="14"/>
      <c r="I65" s="14"/>
      <c r="J65" s="14"/>
      <c r="K65" s="13" t="str">
        <f t="shared" si="2"/>
        <v/>
      </c>
      <c r="L65" s="14"/>
    </row>
    <row r="66" spans="1:12" x14ac:dyDescent="0.3">
      <c r="A66" s="13" t="str">
        <f t="shared" si="3"/>
        <v/>
      </c>
      <c r="B66" s="14"/>
      <c r="C66" s="14"/>
      <c r="D66" s="14"/>
      <c r="E66" s="14"/>
      <c r="F66" s="14"/>
      <c r="G66" s="14"/>
      <c r="H66" s="14"/>
      <c r="I66" s="14"/>
      <c r="J66" s="14"/>
      <c r="K66" s="13" t="str">
        <f t="shared" si="2"/>
        <v/>
      </c>
      <c r="L66" s="14"/>
    </row>
  </sheetData>
  <mergeCells count="2">
    <mergeCell ref="B2:L2"/>
    <mergeCell ref="B1:L1"/>
  </mergeCells>
  <dataValidations count="5">
    <dataValidation type="list" allowBlank="1" showErrorMessage="1" errorTitle="Unknown service" error="Pick a service from the 'Service Catalog' sheet." sqref="B7:B66">
      <formula1>ServiceNames</formula1>
    </dataValidation>
    <dataValidation type="whole" operator="greaterThan" allowBlank="1" showErrorMessage="1" error="Enter a number greater than 0." sqref="C7:C66">
      <formula1>0</formula1>
    </dataValidation>
    <dataValidation type="list" allowBlank="1" showErrorMessage="1" errorTitle="Pick from the list" error="Choose a value from the dropdown, or add it to the list first." sqref="F7:F66">
      <formula1>FieldType</formula1>
    </dataValidation>
    <dataValidation type="list" allowBlank="1" showErrorMessage="1" errorTitle="Pick from the list" error="Choose a value from the dropdown, or add it to the list first." sqref="G7:G66">
      <formula1>YesNo</formula1>
    </dataValidation>
    <dataValidation type="list" allowBlank="1" showErrorMessage="1" errorTitle="Pick from the list" error="Choose a value from the dropdown, or add it to the list first." sqref="J7:J66">
      <formula1>FilledBy</formula1>
    </dataValidation>
  </dataValidation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6B78E"/>
  </sheetPr>
  <dimension ref="A1:L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20" customWidth="1"/>
    <col min="3" max="3" width="30" customWidth="1"/>
    <col min="4" max="4" width="45" customWidth="1"/>
    <col min="5" max="5" width="35" customWidth="1"/>
    <col min="6" max="6" width="16" customWidth="1"/>
    <col min="7" max="7" width="22" customWidth="1"/>
    <col min="8" max="8" width="20" customWidth="1"/>
    <col min="9" max="9" width="40" customWidth="1"/>
    <col min="10" max="11" width="14" customWidth="1"/>
    <col min="12" max="12" width="30" customWidth="1"/>
  </cols>
  <sheetData>
    <row r="1" spans="1:12" ht="43.95" customHeight="1" x14ac:dyDescent="0.3">
      <c r="B1" s="23" t="s">
        <v>16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2.05" customHeight="1" x14ac:dyDescent="0.3">
      <c r="B2" s="25" t="s">
        <v>90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x14ac:dyDescent="0.3">
      <c r="A4" s="9" t="s">
        <v>91</v>
      </c>
    </row>
    <row r="5" spans="1:12" ht="34.049999999999997" customHeight="1" x14ac:dyDescent="0.3">
      <c r="A5" s="10" t="s">
        <v>92</v>
      </c>
      <c r="B5" s="10" t="s">
        <v>93</v>
      </c>
      <c r="C5" s="10" t="s">
        <v>94</v>
      </c>
      <c r="D5" s="10" t="s">
        <v>95</v>
      </c>
      <c r="E5" s="10" t="s">
        <v>96</v>
      </c>
      <c r="F5" s="10" t="s">
        <v>97</v>
      </c>
      <c r="G5" s="10" t="s">
        <v>98</v>
      </c>
      <c r="H5" s="10" t="s">
        <v>99</v>
      </c>
      <c r="I5" s="10" t="s">
        <v>100</v>
      </c>
      <c r="J5" s="10" t="s">
        <v>101</v>
      </c>
      <c r="K5" s="10" t="s">
        <v>102</v>
      </c>
      <c r="L5" s="10" t="s">
        <v>57</v>
      </c>
    </row>
    <row r="6" spans="1:12" ht="39.6" x14ac:dyDescent="0.3">
      <c r="A6" s="11" t="s">
        <v>103</v>
      </c>
      <c r="B6" s="11" t="s">
        <v>104</v>
      </c>
      <c r="C6" s="11" t="s">
        <v>105</v>
      </c>
      <c r="D6" s="11" t="s">
        <v>106</v>
      </c>
      <c r="E6" s="11" t="s">
        <v>107</v>
      </c>
      <c r="F6" s="11" t="s">
        <v>108</v>
      </c>
      <c r="G6" s="11" t="s">
        <v>109</v>
      </c>
      <c r="H6" s="11" t="s">
        <v>110</v>
      </c>
      <c r="I6" s="11" t="s">
        <v>111</v>
      </c>
      <c r="J6" s="16" t="s">
        <v>112</v>
      </c>
      <c r="K6" s="11" t="s">
        <v>113</v>
      </c>
      <c r="L6" s="11" t="s">
        <v>114</v>
      </c>
    </row>
    <row r="7" spans="1:12" x14ac:dyDescent="0.3">
      <c r="A7" s="13" t="str">
        <f t="shared" ref="A7:A38" si="0">IF(C7="","","BR-"&amp;TEXT(ROW()-5,"000"))</f>
        <v/>
      </c>
      <c r="B7" s="14"/>
      <c r="C7" s="14"/>
      <c r="D7" s="14"/>
      <c r="E7" s="14"/>
      <c r="F7" s="14"/>
      <c r="G7" s="14"/>
      <c r="H7" s="14"/>
      <c r="I7" s="14"/>
      <c r="J7" s="17"/>
      <c r="K7" s="14"/>
      <c r="L7" s="14"/>
    </row>
    <row r="8" spans="1:12" x14ac:dyDescent="0.3">
      <c r="A8" s="13" t="str">
        <f t="shared" si="0"/>
        <v/>
      </c>
      <c r="B8" s="14"/>
      <c r="C8" s="14"/>
      <c r="D8" s="14"/>
      <c r="E8" s="14"/>
      <c r="F8" s="14"/>
      <c r="G8" s="14"/>
      <c r="H8" s="14"/>
      <c r="I8" s="14"/>
      <c r="J8" s="17"/>
      <c r="K8" s="14"/>
      <c r="L8" s="14"/>
    </row>
    <row r="9" spans="1:12" x14ac:dyDescent="0.3">
      <c r="A9" s="13" t="str">
        <f t="shared" si="0"/>
        <v/>
      </c>
      <c r="B9" s="14"/>
      <c r="C9" s="14"/>
      <c r="D9" s="14"/>
      <c r="E9" s="14"/>
      <c r="F9" s="14"/>
      <c r="G9" s="14"/>
      <c r="H9" s="14"/>
      <c r="I9" s="14"/>
      <c r="J9" s="17"/>
      <c r="K9" s="14"/>
      <c r="L9" s="14"/>
    </row>
    <row r="10" spans="1:12" x14ac:dyDescent="0.3">
      <c r="A10" s="13" t="str">
        <f t="shared" si="0"/>
        <v/>
      </c>
      <c r="B10" s="14"/>
      <c r="C10" s="14"/>
      <c r="D10" s="14"/>
      <c r="E10" s="14"/>
      <c r="F10" s="14"/>
      <c r="G10" s="14"/>
      <c r="H10" s="14"/>
      <c r="I10" s="14"/>
      <c r="J10" s="17"/>
      <c r="K10" s="14"/>
      <c r="L10" s="14"/>
    </row>
    <row r="11" spans="1:12" x14ac:dyDescent="0.3">
      <c r="A11" s="13" t="str">
        <f t="shared" si="0"/>
        <v/>
      </c>
      <c r="B11" s="14"/>
      <c r="C11" s="14"/>
      <c r="D11" s="14"/>
      <c r="E11" s="14"/>
      <c r="F11" s="14"/>
      <c r="G11" s="14"/>
      <c r="H11" s="14"/>
      <c r="I11" s="14"/>
      <c r="J11" s="17"/>
      <c r="K11" s="14"/>
      <c r="L11" s="14"/>
    </row>
    <row r="12" spans="1:12" x14ac:dyDescent="0.3">
      <c r="A12" s="13" t="str">
        <f t="shared" si="0"/>
        <v/>
      </c>
      <c r="B12" s="14"/>
      <c r="C12" s="14"/>
      <c r="D12" s="14"/>
      <c r="E12" s="14"/>
      <c r="F12" s="14"/>
      <c r="G12" s="14"/>
      <c r="H12" s="14"/>
      <c r="I12" s="14"/>
      <c r="J12" s="17"/>
      <c r="K12" s="14"/>
      <c r="L12" s="14"/>
    </row>
    <row r="13" spans="1:12" x14ac:dyDescent="0.3">
      <c r="A13" s="13" t="str">
        <f t="shared" si="0"/>
        <v/>
      </c>
      <c r="B13" s="14"/>
      <c r="C13" s="14"/>
      <c r="D13" s="14"/>
      <c r="E13" s="14"/>
      <c r="F13" s="14"/>
      <c r="G13" s="14"/>
      <c r="H13" s="14"/>
      <c r="I13" s="14"/>
      <c r="J13" s="17"/>
      <c r="K13" s="14"/>
      <c r="L13" s="14"/>
    </row>
    <row r="14" spans="1:12" x14ac:dyDescent="0.3">
      <c r="A14" s="13" t="str">
        <f t="shared" si="0"/>
        <v/>
      </c>
      <c r="B14" s="14"/>
      <c r="C14" s="14"/>
      <c r="D14" s="14"/>
      <c r="E14" s="14"/>
      <c r="F14" s="14"/>
      <c r="G14" s="14"/>
      <c r="H14" s="14"/>
      <c r="I14" s="14"/>
      <c r="J14" s="17"/>
      <c r="K14" s="14"/>
      <c r="L14" s="14"/>
    </row>
    <row r="15" spans="1:12" x14ac:dyDescent="0.3">
      <c r="A15" s="13" t="str">
        <f t="shared" si="0"/>
        <v/>
      </c>
      <c r="B15" s="14"/>
      <c r="C15" s="14"/>
      <c r="D15" s="14"/>
      <c r="E15" s="14"/>
      <c r="F15" s="14"/>
      <c r="G15" s="14"/>
      <c r="H15" s="14"/>
      <c r="I15" s="14"/>
      <c r="J15" s="17"/>
      <c r="K15" s="14"/>
      <c r="L15" s="14"/>
    </row>
    <row r="16" spans="1:12" x14ac:dyDescent="0.3">
      <c r="A16" s="13" t="str">
        <f t="shared" si="0"/>
        <v/>
      </c>
      <c r="B16" s="14"/>
      <c r="C16" s="14"/>
      <c r="D16" s="14"/>
      <c r="E16" s="14"/>
      <c r="F16" s="14"/>
      <c r="G16" s="14"/>
      <c r="H16" s="14"/>
      <c r="I16" s="14"/>
      <c r="J16" s="17"/>
      <c r="K16" s="14"/>
      <c r="L16" s="14"/>
    </row>
    <row r="17" spans="1:12" x14ac:dyDescent="0.3">
      <c r="A17" s="13" t="str">
        <f t="shared" si="0"/>
        <v/>
      </c>
      <c r="B17" s="14"/>
      <c r="C17" s="14"/>
      <c r="D17" s="14"/>
      <c r="E17" s="14"/>
      <c r="F17" s="14"/>
      <c r="G17" s="14"/>
      <c r="H17" s="14"/>
      <c r="I17" s="14"/>
      <c r="J17" s="17"/>
      <c r="K17" s="14"/>
      <c r="L17" s="14"/>
    </row>
    <row r="18" spans="1:12" x14ac:dyDescent="0.3">
      <c r="A18" s="13" t="str">
        <f t="shared" si="0"/>
        <v/>
      </c>
      <c r="B18" s="14"/>
      <c r="C18" s="14"/>
      <c r="D18" s="14"/>
      <c r="E18" s="14"/>
      <c r="F18" s="14"/>
      <c r="G18" s="14"/>
      <c r="H18" s="14"/>
      <c r="I18" s="14"/>
      <c r="J18" s="17"/>
      <c r="K18" s="14"/>
      <c r="L18" s="14"/>
    </row>
    <row r="19" spans="1:12" x14ac:dyDescent="0.3">
      <c r="A19" s="13" t="str">
        <f t="shared" si="0"/>
        <v/>
      </c>
      <c r="B19" s="14"/>
      <c r="C19" s="14"/>
      <c r="D19" s="14"/>
      <c r="E19" s="14"/>
      <c r="F19" s="14"/>
      <c r="G19" s="14"/>
      <c r="H19" s="14"/>
      <c r="I19" s="14"/>
      <c r="J19" s="17"/>
      <c r="K19" s="14"/>
      <c r="L19" s="14"/>
    </row>
    <row r="20" spans="1:12" x14ac:dyDescent="0.3">
      <c r="A20" s="13" t="str">
        <f t="shared" si="0"/>
        <v/>
      </c>
      <c r="B20" s="14"/>
      <c r="C20" s="14"/>
      <c r="D20" s="14"/>
      <c r="E20" s="14"/>
      <c r="F20" s="14"/>
      <c r="G20" s="14"/>
      <c r="H20" s="14"/>
      <c r="I20" s="14"/>
      <c r="J20" s="17"/>
      <c r="K20" s="14"/>
      <c r="L20" s="14"/>
    </row>
    <row r="21" spans="1:12" x14ac:dyDescent="0.3">
      <c r="A21" s="13" t="str">
        <f t="shared" si="0"/>
        <v/>
      </c>
      <c r="B21" s="14"/>
      <c r="C21" s="14"/>
      <c r="D21" s="14"/>
      <c r="E21" s="14"/>
      <c r="F21" s="14"/>
      <c r="G21" s="14"/>
      <c r="H21" s="14"/>
      <c r="I21" s="14"/>
      <c r="J21" s="17"/>
      <c r="K21" s="14"/>
      <c r="L21" s="14"/>
    </row>
    <row r="22" spans="1:12" x14ac:dyDescent="0.3">
      <c r="A22" s="13" t="str">
        <f t="shared" si="0"/>
        <v/>
      </c>
      <c r="B22" s="14"/>
      <c r="C22" s="14"/>
      <c r="D22" s="14"/>
      <c r="E22" s="14"/>
      <c r="F22" s="14"/>
      <c r="G22" s="14"/>
      <c r="H22" s="14"/>
      <c r="I22" s="14"/>
      <c r="J22" s="17"/>
      <c r="K22" s="14"/>
      <c r="L22" s="14"/>
    </row>
    <row r="23" spans="1:12" x14ac:dyDescent="0.3">
      <c r="A23" s="13" t="str">
        <f t="shared" si="0"/>
        <v/>
      </c>
      <c r="B23" s="14"/>
      <c r="C23" s="14"/>
      <c r="D23" s="14"/>
      <c r="E23" s="14"/>
      <c r="F23" s="14"/>
      <c r="G23" s="14"/>
      <c r="H23" s="14"/>
      <c r="I23" s="14"/>
      <c r="J23" s="17"/>
      <c r="K23" s="14"/>
      <c r="L23" s="14"/>
    </row>
    <row r="24" spans="1:12" x14ac:dyDescent="0.3">
      <c r="A24" s="13" t="str">
        <f t="shared" si="0"/>
        <v/>
      </c>
      <c r="B24" s="14"/>
      <c r="C24" s="14"/>
      <c r="D24" s="14"/>
      <c r="E24" s="14"/>
      <c r="F24" s="14"/>
      <c r="G24" s="14"/>
      <c r="H24" s="14"/>
      <c r="I24" s="14"/>
      <c r="J24" s="17"/>
      <c r="K24" s="14"/>
      <c r="L24" s="14"/>
    </row>
    <row r="25" spans="1:12" x14ac:dyDescent="0.3">
      <c r="A25" s="13" t="str">
        <f t="shared" si="0"/>
        <v/>
      </c>
      <c r="B25" s="14"/>
      <c r="C25" s="14"/>
      <c r="D25" s="14"/>
      <c r="E25" s="14"/>
      <c r="F25" s="14"/>
      <c r="G25" s="14"/>
      <c r="H25" s="14"/>
      <c r="I25" s="14"/>
      <c r="J25" s="17"/>
      <c r="K25" s="14"/>
      <c r="L25" s="14"/>
    </row>
    <row r="26" spans="1:12" x14ac:dyDescent="0.3">
      <c r="A26" s="13" t="str">
        <f t="shared" si="0"/>
        <v/>
      </c>
      <c r="B26" s="14"/>
      <c r="C26" s="14"/>
      <c r="D26" s="14"/>
      <c r="E26" s="14"/>
      <c r="F26" s="14"/>
      <c r="G26" s="14"/>
      <c r="H26" s="14"/>
      <c r="I26" s="14"/>
      <c r="J26" s="17"/>
      <c r="K26" s="14"/>
      <c r="L26" s="14"/>
    </row>
    <row r="27" spans="1:12" x14ac:dyDescent="0.3">
      <c r="A27" s="13" t="str">
        <f t="shared" si="0"/>
        <v/>
      </c>
      <c r="B27" s="14"/>
      <c r="C27" s="14"/>
      <c r="D27" s="14"/>
      <c r="E27" s="14"/>
      <c r="F27" s="14"/>
      <c r="G27" s="14"/>
      <c r="H27" s="14"/>
      <c r="I27" s="14"/>
      <c r="J27" s="17"/>
      <c r="K27" s="14"/>
      <c r="L27" s="14"/>
    </row>
    <row r="28" spans="1:12" x14ac:dyDescent="0.3">
      <c r="A28" s="13" t="str">
        <f t="shared" si="0"/>
        <v/>
      </c>
      <c r="B28" s="14"/>
      <c r="C28" s="14"/>
      <c r="D28" s="14"/>
      <c r="E28" s="14"/>
      <c r="F28" s="14"/>
      <c r="G28" s="14"/>
      <c r="H28" s="14"/>
      <c r="I28" s="14"/>
      <c r="J28" s="17"/>
      <c r="K28" s="14"/>
      <c r="L28" s="14"/>
    </row>
    <row r="29" spans="1:12" x14ac:dyDescent="0.3">
      <c r="A29" s="13" t="str">
        <f t="shared" si="0"/>
        <v/>
      </c>
      <c r="B29" s="14"/>
      <c r="C29" s="14"/>
      <c r="D29" s="14"/>
      <c r="E29" s="14"/>
      <c r="F29" s="14"/>
      <c r="G29" s="14"/>
      <c r="H29" s="14"/>
      <c r="I29" s="14"/>
      <c r="J29" s="17"/>
      <c r="K29" s="14"/>
      <c r="L29" s="14"/>
    </row>
    <row r="30" spans="1:12" x14ac:dyDescent="0.3">
      <c r="A30" s="13" t="str">
        <f t="shared" si="0"/>
        <v/>
      </c>
      <c r="B30" s="14"/>
      <c r="C30" s="14"/>
      <c r="D30" s="14"/>
      <c r="E30" s="14"/>
      <c r="F30" s="14"/>
      <c r="G30" s="14"/>
      <c r="H30" s="14"/>
      <c r="I30" s="14"/>
      <c r="J30" s="17"/>
      <c r="K30" s="14"/>
      <c r="L30" s="14"/>
    </row>
    <row r="31" spans="1:12" x14ac:dyDescent="0.3">
      <c r="A31" s="13" t="str">
        <f t="shared" si="0"/>
        <v/>
      </c>
      <c r="B31" s="14"/>
      <c r="C31" s="14"/>
      <c r="D31" s="14"/>
      <c r="E31" s="14"/>
      <c r="F31" s="14"/>
      <c r="G31" s="14"/>
      <c r="H31" s="14"/>
      <c r="I31" s="14"/>
      <c r="J31" s="17"/>
      <c r="K31" s="14"/>
      <c r="L31" s="14"/>
    </row>
    <row r="32" spans="1:12" x14ac:dyDescent="0.3">
      <c r="A32" s="13" t="str">
        <f t="shared" si="0"/>
        <v/>
      </c>
      <c r="B32" s="14"/>
      <c r="C32" s="14"/>
      <c r="D32" s="14"/>
      <c r="E32" s="14"/>
      <c r="F32" s="14"/>
      <c r="G32" s="14"/>
      <c r="H32" s="14"/>
      <c r="I32" s="14"/>
      <c r="J32" s="17"/>
      <c r="K32" s="14"/>
      <c r="L32" s="14"/>
    </row>
    <row r="33" spans="1:12" x14ac:dyDescent="0.3">
      <c r="A33" s="13" t="str">
        <f t="shared" si="0"/>
        <v/>
      </c>
      <c r="B33" s="14"/>
      <c r="C33" s="14"/>
      <c r="D33" s="14"/>
      <c r="E33" s="14"/>
      <c r="F33" s="14"/>
      <c r="G33" s="14"/>
      <c r="H33" s="14"/>
      <c r="I33" s="14"/>
      <c r="J33" s="17"/>
      <c r="K33" s="14"/>
      <c r="L33" s="14"/>
    </row>
    <row r="34" spans="1:12" x14ac:dyDescent="0.3">
      <c r="A34" s="13" t="str">
        <f t="shared" si="0"/>
        <v/>
      </c>
      <c r="B34" s="14"/>
      <c r="C34" s="14"/>
      <c r="D34" s="14"/>
      <c r="E34" s="14"/>
      <c r="F34" s="14"/>
      <c r="G34" s="14"/>
      <c r="H34" s="14"/>
      <c r="I34" s="14"/>
      <c r="J34" s="17"/>
      <c r="K34" s="14"/>
      <c r="L34" s="14"/>
    </row>
    <row r="35" spans="1:12" x14ac:dyDescent="0.3">
      <c r="A35" s="13" t="str">
        <f t="shared" si="0"/>
        <v/>
      </c>
      <c r="B35" s="14"/>
      <c r="C35" s="14"/>
      <c r="D35" s="14"/>
      <c r="E35" s="14"/>
      <c r="F35" s="14"/>
      <c r="G35" s="14"/>
      <c r="H35" s="14"/>
      <c r="I35" s="14"/>
      <c r="J35" s="17"/>
      <c r="K35" s="14"/>
      <c r="L35" s="14"/>
    </row>
    <row r="36" spans="1:12" x14ac:dyDescent="0.3">
      <c r="A36" s="13" t="str">
        <f t="shared" si="0"/>
        <v/>
      </c>
      <c r="B36" s="14"/>
      <c r="C36" s="14"/>
      <c r="D36" s="14"/>
      <c r="E36" s="14"/>
      <c r="F36" s="14"/>
      <c r="G36" s="14"/>
      <c r="H36" s="14"/>
      <c r="I36" s="14"/>
      <c r="J36" s="17"/>
      <c r="K36" s="14"/>
      <c r="L36" s="14"/>
    </row>
    <row r="37" spans="1:12" x14ac:dyDescent="0.3">
      <c r="A37" s="13" t="str">
        <f t="shared" si="0"/>
        <v/>
      </c>
      <c r="B37" s="14"/>
      <c r="C37" s="14"/>
      <c r="D37" s="14"/>
      <c r="E37" s="14"/>
      <c r="F37" s="14"/>
      <c r="G37" s="14"/>
      <c r="H37" s="14"/>
      <c r="I37" s="14"/>
      <c r="J37" s="17"/>
      <c r="K37" s="14"/>
      <c r="L37" s="14"/>
    </row>
    <row r="38" spans="1:12" x14ac:dyDescent="0.3">
      <c r="A38" s="13" t="str">
        <f t="shared" si="0"/>
        <v/>
      </c>
      <c r="B38" s="14"/>
      <c r="C38" s="14"/>
      <c r="D38" s="14"/>
      <c r="E38" s="14"/>
      <c r="F38" s="14"/>
      <c r="G38" s="14"/>
      <c r="H38" s="14"/>
      <c r="I38" s="14"/>
      <c r="J38" s="17"/>
      <c r="K38" s="14"/>
      <c r="L38" s="14"/>
    </row>
    <row r="39" spans="1:12" x14ac:dyDescent="0.3">
      <c r="A39" s="13" t="str">
        <f t="shared" ref="A39:A66" si="1">IF(C39="","","BR-"&amp;TEXT(ROW()-5,"000"))</f>
        <v/>
      </c>
      <c r="B39" s="14"/>
      <c r="C39" s="14"/>
      <c r="D39" s="14"/>
      <c r="E39" s="14"/>
      <c r="F39" s="14"/>
      <c r="G39" s="14"/>
      <c r="H39" s="14"/>
      <c r="I39" s="14"/>
      <c r="J39" s="17"/>
      <c r="K39" s="14"/>
      <c r="L39" s="14"/>
    </row>
    <row r="40" spans="1:12" x14ac:dyDescent="0.3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4"/>
      <c r="J40" s="17"/>
      <c r="K40" s="14"/>
      <c r="L40" s="14"/>
    </row>
    <row r="41" spans="1:12" x14ac:dyDescent="0.3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4"/>
      <c r="J41" s="17"/>
      <c r="K41" s="14"/>
      <c r="L41" s="14"/>
    </row>
    <row r="42" spans="1:12" x14ac:dyDescent="0.3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4"/>
      <c r="J42" s="17"/>
      <c r="K42" s="14"/>
      <c r="L42" s="14"/>
    </row>
    <row r="43" spans="1:12" x14ac:dyDescent="0.3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4"/>
      <c r="J43" s="17"/>
      <c r="K43" s="14"/>
      <c r="L43" s="14"/>
    </row>
    <row r="44" spans="1:12" x14ac:dyDescent="0.3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4"/>
      <c r="J44" s="17"/>
      <c r="K44" s="14"/>
      <c r="L44" s="14"/>
    </row>
    <row r="45" spans="1:12" x14ac:dyDescent="0.3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4"/>
      <c r="J45" s="17"/>
      <c r="K45" s="14"/>
      <c r="L45" s="14"/>
    </row>
    <row r="46" spans="1:12" x14ac:dyDescent="0.3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4"/>
      <c r="J46" s="17"/>
      <c r="K46" s="14"/>
      <c r="L46" s="14"/>
    </row>
    <row r="47" spans="1:12" x14ac:dyDescent="0.3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4"/>
      <c r="J47" s="17"/>
      <c r="K47" s="14"/>
      <c r="L47" s="14"/>
    </row>
    <row r="48" spans="1:12" x14ac:dyDescent="0.3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4"/>
      <c r="J48" s="17"/>
      <c r="K48" s="14"/>
      <c r="L48" s="14"/>
    </row>
    <row r="49" spans="1:12" x14ac:dyDescent="0.3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4"/>
      <c r="J49" s="17"/>
      <c r="K49" s="14"/>
      <c r="L49" s="14"/>
    </row>
    <row r="50" spans="1:12" x14ac:dyDescent="0.3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4"/>
      <c r="J50" s="17"/>
      <c r="K50" s="14"/>
      <c r="L50" s="14"/>
    </row>
    <row r="51" spans="1:12" x14ac:dyDescent="0.3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4"/>
      <c r="J51" s="17"/>
      <c r="K51" s="14"/>
      <c r="L51" s="14"/>
    </row>
    <row r="52" spans="1:12" x14ac:dyDescent="0.3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4"/>
      <c r="J52" s="17"/>
      <c r="K52" s="14"/>
      <c r="L52" s="14"/>
    </row>
    <row r="53" spans="1:12" x14ac:dyDescent="0.3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4"/>
      <c r="J53" s="17"/>
      <c r="K53" s="14"/>
      <c r="L53" s="14"/>
    </row>
    <row r="54" spans="1:12" x14ac:dyDescent="0.3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4"/>
      <c r="J54" s="17"/>
      <c r="K54" s="14"/>
      <c r="L54" s="14"/>
    </row>
    <row r="55" spans="1:12" x14ac:dyDescent="0.3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4"/>
      <c r="J55" s="17"/>
      <c r="K55" s="14"/>
      <c r="L55" s="14"/>
    </row>
    <row r="56" spans="1:12" x14ac:dyDescent="0.3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4"/>
      <c r="J56" s="17"/>
      <c r="K56" s="14"/>
      <c r="L56" s="14"/>
    </row>
    <row r="57" spans="1:12" x14ac:dyDescent="0.3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4"/>
      <c r="J57" s="17"/>
      <c r="K57" s="14"/>
      <c r="L57" s="14"/>
    </row>
    <row r="58" spans="1:12" x14ac:dyDescent="0.3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4"/>
      <c r="J58" s="17"/>
      <c r="K58" s="14"/>
      <c r="L58" s="14"/>
    </row>
    <row r="59" spans="1:12" x14ac:dyDescent="0.3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4"/>
      <c r="J59" s="17"/>
      <c r="K59" s="14"/>
      <c r="L59" s="14"/>
    </row>
    <row r="60" spans="1:12" x14ac:dyDescent="0.3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4"/>
      <c r="J60" s="17"/>
      <c r="K60" s="14"/>
      <c r="L60" s="14"/>
    </row>
    <row r="61" spans="1:12" x14ac:dyDescent="0.3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4"/>
      <c r="J61" s="17"/>
      <c r="K61" s="14"/>
      <c r="L61" s="14"/>
    </row>
    <row r="62" spans="1:12" x14ac:dyDescent="0.3">
      <c r="A62" s="13" t="str">
        <f t="shared" si="1"/>
        <v/>
      </c>
      <c r="B62" s="14"/>
      <c r="C62" s="14"/>
      <c r="D62" s="14"/>
      <c r="E62" s="14"/>
      <c r="F62" s="14"/>
      <c r="G62" s="14"/>
      <c r="H62" s="14"/>
      <c r="I62" s="14"/>
      <c r="J62" s="17"/>
      <c r="K62" s="14"/>
      <c r="L62" s="14"/>
    </row>
    <row r="63" spans="1:12" x14ac:dyDescent="0.3">
      <c r="A63" s="13" t="str">
        <f t="shared" si="1"/>
        <v/>
      </c>
      <c r="B63" s="14"/>
      <c r="C63" s="14"/>
      <c r="D63" s="14"/>
      <c r="E63" s="14"/>
      <c r="F63" s="14"/>
      <c r="G63" s="14"/>
      <c r="H63" s="14"/>
      <c r="I63" s="14"/>
      <c r="J63" s="17"/>
      <c r="K63" s="14"/>
      <c r="L63" s="14"/>
    </row>
    <row r="64" spans="1:12" x14ac:dyDescent="0.3">
      <c r="A64" s="13" t="str">
        <f t="shared" si="1"/>
        <v/>
      </c>
      <c r="B64" s="14"/>
      <c r="C64" s="14"/>
      <c r="D64" s="14"/>
      <c r="E64" s="14"/>
      <c r="F64" s="14"/>
      <c r="G64" s="14"/>
      <c r="H64" s="14"/>
      <c r="I64" s="14"/>
      <c r="J64" s="17"/>
      <c r="K64" s="14"/>
      <c r="L64" s="14"/>
    </row>
    <row r="65" spans="1:12" x14ac:dyDescent="0.3">
      <c r="A65" s="13" t="str">
        <f t="shared" si="1"/>
        <v/>
      </c>
      <c r="B65" s="14"/>
      <c r="C65" s="14"/>
      <c r="D65" s="14"/>
      <c r="E65" s="14"/>
      <c r="F65" s="14"/>
      <c r="G65" s="14"/>
      <c r="H65" s="14"/>
      <c r="I65" s="14"/>
      <c r="J65" s="17"/>
      <c r="K65" s="14"/>
      <c r="L65" s="14"/>
    </row>
    <row r="66" spans="1:12" x14ac:dyDescent="0.3">
      <c r="A66" s="13" t="str">
        <f t="shared" si="1"/>
        <v/>
      </c>
      <c r="B66" s="14"/>
      <c r="C66" s="14"/>
      <c r="D66" s="14"/>
      <c r="E66" s="14"/>
      <c r="F66" s="14"/>
      <c r="G66" s="14"/>
      <c r="H66" s="14"/>
      <c r="I66" s="14"/>
      <c r="J66" s="17"/>
      <c r="K66" s="14"/>
      <c r="L66" s="14"/>
    </row>
  </sheetData>
  <mergeCells count="2">
    <mergeCell ref="B2:L2"/>
    <mergeCell ref="B1:L1"/>
  </mergeCells>
  <dataValidations count="4">
    <dataValidation type="list" allowBlank="1" showErrorMessage="1" errorTitle="Pick from the list" error="Choose a value from the dropdown, or add it to the list first." sqref="B7:B66">
      <formula1>Area</formula1>
    </dataValidation>
    <dataValidation type="list" allowBlank="1" showErrorMessage="1" errorTitle="Pick from the list" error="Choose a value from the dropdown, or add it to the list first." sqref="F7:F66">
      <formula1>Priority</formula1>
    </dataValidation>
    <dataValidation type="list" allowBlank="1" showErrorMessage="1" errorTitle="Pick from the list" error="Choose a value from the dropdown, or add it to the list first." sqref="K7:K66">
      <formula1>ReqStatus</formula1>
    </dataValidation>
    <dataValidation type="date" operator="greaterThan" allowBlank="1" showErrorMessage="1" error="Enter a date (dd/mm/yyyy)." sqref="J7:J66">
      <formula1>DATE(2026,1,1)</formula1>
    </dataValidation>
  </dataValidations>
  <pageMargins left="0.75" right="0.75" top="1" bottom="1" header="0.5" footer="0.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24638"/>
  </sheetPr>
  <dimension ref="A1:AA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30" customWidth="1"/>
    <col min="5" max="5" width="14" customWidth="1"/>
    <col min="6" max="7" width="30" customWidth="1"/>
    <col min="8" max="8" width="22" customWidth="1"/>
    <col min="9" max="9" width="9" customWidth="1"/>
    <col min="10" max="10" width="15" customWidth="1"/>
    <col min="11" max="11" width="26" customWidth="1"/>
    <col min="12" max="12" width="13" customWidth="1"/>
    <col min="13" max="13" width="22" customWidth="1"/>
    <col min="14" max="14" width="26" customWidth="1"/>
    <col min="15" max="15" width="16" customWidth="1"/>
    <col min="16" max="16" width="22" customWidth="1"/>
    <col min="17" max="17" width="26" customWidth="1"/>
    <col min="18" max="19" width="16" customWidth="1"/>
    <col min="20" max="20" width="22" customWidth="1"/>
    <col min="21" max="21" width="26" customWidth="1"/>
    <col min="22" max="23" width="16" customWidth="1"/>
    <col min="24" max="24" width="22" customWidth="1"/>
    <col min="25" max="25" width="26" customWidth="1"/>
    <col min="26" max="26" width="16" customWidth="1"/>
    <col min="27" max="27" width="30" customWidth="1"/>
  </cols>
  <sheetData>
    <row r="1" spans="1:27" ht="43.95" customHeight="1" x14ac:dyDescent="0.3">
      <c r="B1" s="23" t="s">
        <v>115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22.05" customHeight="1" x14ac:dyDescent="0.3">
      <c r="B2" s="25" t="s">
        <v>116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4" spans="1:27" x14ac:dyDescent="0.3">
      <c r="A4" s="9" t="s">
        <v>117</v>
      </c>
    </row>
    <row r="5" spans="1:27" ht="34.049999999999997" customHeight="1" x14ac:dyDescent="0.3">
      <c r="A5" s="10" t="s">
        <v>118</v>
      </c>
      <c r="B5" s="10" t="s">
        <v>119</v>
      </c>
      <c r="C5" s="10" t="s">
        <v>120</v>
      </c>
      <c r="D5" s="10" t="s">
        <v>121</v>
      </c>
      <c r="E5" s="10" t="s">
        <v>122</v>
      </c>
      <c r="F5" s="10" t="s">
        <v>123</v>
      </c>
      <c r="G5" s="10" t="s">
        <v>124</v>
      </c>
      <c r="H5" s="10" t="s">
        <v>125</v>
      </c>
      <c r="I5" s="10" t="s">
        <v>126</v>
      </c>
      <c r="J5" s="10" t="s">
        <v>127</v>
      </c>
      <c r="K5" s="10" t="s">
        <v>128</v>
      </c>
      <c r="L5" s="10" t="s">
        <v>129</v>
      </c>
      <c r="M5" s="10" t="s">
        <v>130</v>
      </c>
      <c r="N5" s="10" t="s">
        <v>131</v>
      </c>
      <c r="O5" s="10" t="s">
        <v>132</v>
      </c>
      <c r="P5" s="10" t="s">
        <v>133</v>
      </c>
      <c r="Q5" s="10" t="s">
        <v>134</v>
      </c>
      <c r="R5" s="10" t="s">
        <v>135</v>
      </c>
      <c r="S5" s="10" t="s">
        <v>136</v>
      </c>
      <c r="T5" s="10" t="s">
        <v>137</v>
      </c>
      <c r="U5" s="10" t="s">
        <v>138</v>
      </c>
      <c r="V5" s="10" t="s">
        <v>139</v>
      </c>
      <c r="W5" s="10" t="s">
        <v>140</v>
      </c>
      <c r="X5" s="10" t="s">
        <v>141</v>
      </c>
      <c r="Y5" s="10" t="s">
        <v>142</v>
      </c>
      <c r="Z5" s="10" t="s">
        <v>143</v>
      </c>
      <c r="AA5" s="10" t="s">
        <v>144</v>
      </c>
    </row>
    <row r="6" spans="1:27" ht="52.8" x14ac:dyDescent="0.3">
      <c r="A6" s="11" t="s">
        <v>145</v>
      </c>
      <c r="B6" s="11" t="s">
        <v>146</v>
      </c>
      <c r="C6" s="11" t="s">
        <v>147</v>
      </c>
      <c r="D6" s="11" t="s">
        <v>148</v>
      </c>
      <c r="E6" s="11" t="s">
        <v>149</v>
      </c>
      <c r="F6" s="11" t="s">
        <v>150</v>
      </c>
      <c r="G6" s="11" t="s">
        <v>151</v>
      </c>
      <c r="H6" s="11" t="s">
        <v>152</v>
      </c>
      <c r="I6" s="11">
        <v>2</v>
      </c>
      <c r="J6" s="11" t="s">
        <v>153</v>
      </c>
      <c r="K6" s="11" t="s">
        <v>154</v>
      </c>
      <c r="L6" s="18">
        <v>0.75</v>
      </c>
      <c r="M6" s="11" t="s">
        <v>155</v>
      </c>
      <c r="N6" s="11"/>
      <c r="O6" s="11">
        <v>0</v>
      </c>
      <c r="P6" s="11" t="s">
        <v>156</v>
      </c>
      <c r="Q6" s="11" t="s">
        <v>157</v>
      </c>
      <c r="R6" s="11" t="s">
        <v>158</v>
      </c>
      <c r="S6" s="11">
        <v>1</v>
      </c>
      <c r="T6" s="11"/>
      <c r="U6" s="11"/>
      <c r="V6" s="11"/>
      <c r="W6" s="11"/>
      <c r="X6" s="11"/>
      <c r="Y6" s="11"/>
      <c r="Z6" s="11"/>
      <c r="AA6" s="11" t="s">
        <v>159</v>
      </c>
    </row>
    <row r="7" spans="1:27" ht="26.4" x14ac:dyDescent="0.3">
      <c r="A7" s="13" t="str">
        <f t="shared" ref="A7:A38" si="0">IF(B7="","","SLA-"&amp;TEXT(ROW()-5,"00"))</f>
        <v>SLA-02</v>
      </c>
      <c r="B7" s="19" t="s">
        <v>160</v>
      </c>
      <c r="C7" s="19" t="s">
        <v>161</v>
      </c>
      <c r="D7" s="19" t="s">
        <v>148</v>
      </c>
      <c r="E7" s="19" t="s">
        <v>149</v>
      </c>
      <c r="F7" s="19" t="s">
        <v>162</v>
      </c>
      <c r="G7" s="19" t="s">
        <v>163</v>
      </c>
      <c r="H7" s="19" t="s">
        <v>152</v>
      </c>
      <c r="I7" s="19">
        <v>2</v>
      </c>
      <c r="J7" s="19" t="s">
        <v>153</v>
      </c>
      <c r="K7" s="19" t="s">
        <v>154</v>
      </c>
      <c r="L7" s="20"/>
      <c r="M7" s="19"/>
      <c r="N7" s="19"/>
      <c r="O7" s="19">
        <v>0</v>
      </c>
      <c r="P7" s="19" t="s">
        <v>156</v>
      </c>
      <c r="Q7" s="19" t="s">
        <v>157</v>
      </c>
      <c r="R7" s="19" t="s">
        <v>158</v>
      </c>
      <c r="S7" s="19"/>
      <c r="T7" s="19"/>
      <c r="U7" s="19"/>
      <c r="V7" s="19"/>
      <c r="W7" s="19"/>
      <c r="X7" s="19"/>
      <c r="Y7" s="19"/>
      <c r="Z7" s="19"/>
      <c r="AA7" s="19" t="s">
        <v>164</v>
      </c>
    </row>
    <row r="8" spans="1:27" x14ac:dyDescent="0.3">
      <c r="A8" s="13" t="str">
        <f t="shared" si="0"/>
        <v/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1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3">
      <c r="A9" s="13" t="str">
        <f t="shared" si="0"/>
        <v/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21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3">
      <c r="A10" s="13" t="str">
        <f t="shared" si="0"/>
        <v/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21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3">
      <c r="A11" s="13" t="str">
        <f t="shared" si="0"/>
        <v/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21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3">
      <c r="A12" s="13" t="str">
        <f t="shared" si="0"/>
        <v/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21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x14ac:dyDescent="0.3">
      <c r="A13" s="13" t="str">
        <f t="shared" si="0"/>
        <v/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21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x14ac:dyDescent="0.3">
      <c r="A14" s="13" t="str">
        <f t="shared" si="0"/>
        <v/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1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x14ac:dyDescent="0.3">
      <c r="A15" s="13" t="str">
        <f t="shared" si="0"/>
        <v/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21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x14ac:dyDescent="0.3">
      <c r="A16" s="13" t="str">
        <f t="shared" si="0"/>
        <v/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21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x14ac:dyDescent="0.3">
      <c r="A17" s="13" t="str">
        <f t="shared" si="0"/>
        <v/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21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x14ac:dyDescent="0.3">
      <c r="A18" s="13" t="str">
        <f t="shared" si="0"/>
        <v/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21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x14ac:dyDescent="0.3">
      <c r="A19" s="13" t="str">
        <f t="shared" si="0"/>
        <v/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1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x14ac:dyDescent="0.3">
      <c r="A20" s="13" t="str">
        <f t="shared" si="0"/>
        <v/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21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x14ac:dyDescent="0.3">
      <c r="A21" s="13" t="str">
        <f t="shared" si="0"/>
        <v/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21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x14ac:dyDescent="0.3">
      <c r="A22" s="13" t="str">
        <f t="shared" si="0"/>
        <v/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21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x14ac:dyDescent="0.3">
      <c r="A23" s="13" t="str">
        <f t="shared" si="0"/>
        <v/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2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x14ac:dyDescent="0.3">
      <c r="A24" s="13" t="str">
        <f t="shared" si="0"/>
        <v/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21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x14ac:dyDescent="0.3">
      <c r="A25" s="13" t="str">
        <f t="shared" si="0"/>
        <v/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1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x14ac:dyDescent="0.3">
      <c r="A26" s="13" t="str">
        <f t="shared" si="0"/>
        <v/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1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x14ac:dyDescent="0.3">
      <c r="A27" s="13" t="str">
        <f t="shared" si="0"/>
        <v/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1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x14ac:dyDescent="0.3">
      <c r="A28" s="13" t="str">
        <f t="shared" si="0"/>
        <v/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1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x14ac:dyDescent="0.3">
      <c r="A29" s="13" t="str">
        <f t="shared" si="0"/>
        <v/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1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x14ac:dyDescent="0.3">
      <c r="A30" s="13" t="str">
        <f t="shared" si="0"/>
        <v/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1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x14ac:dyDescent="0.3">
      <c r="A31" s="13" t="str">
        <f t="shared" si="0"/>
        <v/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1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x14ac:dyDescent="0.3">
      <c r="A32" s="13" t="str">
        <f t="shared" si="0"/>
        <v/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1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x14ac:dyDescent="0.3">
      <c r="A33" s="13" t="str">
        <f t="shared" si="0"/>
        <v/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1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x14ac:dyDescent="0.3">
      <c r="A34" s="13" t="str">
        <f t="shared" si="0"/>
        <v/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1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x14ac:dyDescent="0.3">
      <c r="A35" s="13" t="str">
        <f t="shared" si="0"/>
        <v/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1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x14ac:dyDescent="0.3">
      <c r="A36" s="13" t="str">
        <f t="shared" si="0"/>
        <v/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1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x14ac:dyDescent="0.3">
      <c r="A37" s="13" t="str">
        <f t="shared" si="0"/>
        <v/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1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x14ac:dyDescent="0.3">
      <c r="A38" s="13" t="str">
        <f t="shared" si="0"/>
        <v/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1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x14ac:dyDescent="0.3">
      <c r="A39" s="13" t="str">
        <f t="shared" ref="A39:A70" si="1">IF(B39="","","SLA-"&amp;TEXT(ROW()-5,"00"))</f>
        <v/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1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x14ac:dyDescent="0.3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1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x14ac:dyDescent="0.3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1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x14ac:dyDescent="0.3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1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x14ac:dyDescent="0.3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1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x14ac:dyDescent="0.3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1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x14ac:dyDescent="0.3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x14ac:dyDescent="0.3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x14ac:dyDescent="0.3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x14ac:dyDescent="0.3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x14ac:dyDescent="0.3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x14ac:dyDescent="0.3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1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x14ac:dyDescent="0.3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x14ac:dyDescent="0.3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1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x14ac:dyDescent="0.3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1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x14ac:dyDescent="0.3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1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x14ac:dyDescent="0.3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1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x14ac:dyDescent="0.3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1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x14ac:dyDescent="0.3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1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x14ac:dyDescent="0.3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1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x14ac:dyDescent="0.3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1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x14ac:dyDescent="0.3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1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x14ac:dyDescent="0.3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x14ac:dyDescent="0.3">
      <c r="A62" s="13" t="str">
        <f t="shared" si="1"/>
        <v/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1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x14ac:dyDescent="0.3">
      <c r="A63" s="13" t="str">
        <f t="shared" si="1"/>
        <v/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1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x14ac:dyDescent="0.3">
      <c r="A64" s="13" t="str">
        <f t="shared" si="1"/>
        <v/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1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x14ac:dyDescent="0.3">
      <c r="A65" s="13" t="str">
        <f t="shared" si="1"/>
        <v/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1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x14ac:dyDescent="0.3">
      <c r="A66" s="13" t="str">
        <f t="shared" si="1"/>
        <v/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1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</sheetData>
  <mergeCells count="2">
    <mergeCell ref="B1:AA1"/>
    <mergeCell ref="B2:AA2"/>
  </mergeCells>
  <dataValidations count="18">
    <dataValidation type="list" allowBlank="1" showErrorMessage="1" errorTitle="Pick from the list" error="Choose a value from the dropdown, or add it to the list first." sqref="C7:C66">
      <formula1>Stage</formula1>
    </dataValidation>
    <dataValidation type="list" allowBlank="1" showErrorMessage="1" errorTitle="Pick from the list" error="Choose a value from the dropdown, or add it to the list first." sqref="D7:D66">
      <formula1>ReportCategory</formula1>
    </dataValidation>
    <dataValidation type="list" allowBlank="1" showErrorMessage="1" errorTitle="Pick from the list" error="Choose a value from the dropdown, or add it to the list first." sqref="E7:E66">
      <formula1>Severity</formula1>
    </dataValidation>
    <dataValidation type="decimal" operator="greaterThan" allowBlank="1" showErrorMessage="1" error="Enter a number greater than 0." sqref="I7:I66">
      <formula1>0</formula1>
    </dataValidation>
    <dataValidation type="list" allowBlank="1" showErrorMessage="1" errorTitle="Pick from the list" error="Choose a value from the dropdown, or add it to the list first." sqref="J7:J66">
      <formula1>Unit</formula1>
    </dataValidation>
    <dataValidation type="list" allowBlank="1" showErrorMessage="1" errorTitle="Pick from the list" error="Choose a value from the dropdown, or add it to the list first." sqref="K7:K66">
      <formula1>Calendar</formula1>
    </dataValidation>
    <dataValidation type="decimal" allowBlank="1" showErrorMessage="1" error="Enter a percentage between 0% and 100%." sqref="L7:L66">
      <formula1>0</formula1>
      <formula2>1</formula2>
    </dataValidation>
    <dataValidation type="list" allowBlank="1" sqref="M7:M66">
      <formula1>GroupNames</formula1>
    </dataValidation>
    <dataValidation type="list" allowBlank="1" sqref="P7:P66">
      <formula1>GroupNames</formula1>
    </dataValidation>
    <dataValidation type="list" allowBlank="1" sqref="T7:T66">
      <formula1>GroupNames</formula1>
    </dataValidation>
    <dataValidation type="list" allowBlank="1" sqref="X7:X66">
      <formula1>GroupNames</formula1>
    </dataValidation>
    <dataValidation type="list" allowBlank="1" showErrorMessage="1" errorTitle="Pick from the list" error="Choose a value from the dropdown, or add it to the list first." sqref="R7:R66">
      <formula1>Channel</formula1>
    </dataValidation>
    <dataValidation type="list" allowBlank="1" showErrorMessage="1" errorTitle="Pick from the list" error="Choose a value from the dropdown, or add it to the list first." sqref="V7:V66">
      <formula1>Channel</formula1>
    </dataValidation>
    <dataValidation type="list" allowBlank="1" showErrorMessage="1" errorTitle="Pick from the list" error="Choose a value from the dropdown, or add it to the list first." sqref="Z7:Z66">
      <formula1>Channel</formula1>
    </dataValidation>
    <dataValidation type="custom" allowBlank="1" showErrorMessage="1" errorTitle="Email address" error="Enter a valid email address, e.g. name@erc.sa." sqref="N7:N66">
      <formula1>ISNUMBER(SEARCH("@",N7))</formula1>
    </dataValidation>
    <dataValidation type="custom" allowBlank="1" showErrorMessage="1" errorTitle="Email address" error="Enter a valid email address, e.g. name@erc.sa." sqref="Q7:Q66">
      <formula1>ISNUMBER(SEARCH("@",Q7))</formula1>
    </dataValidation>
    <dataValidation type="custom" allowBlank="1" showErrorMessage="1" errorTitle="Email address" error="Enter a valid email address, e.g. name@erc.sa." sqref="U7:U66">
      <formula1>ISNUMBER(SEARCH("@",U7))</formula1>
    </dataValidation>
    <dataValidation type="custom" allowBlank="1" showErrorMessage="1" errorTitle="Email address" error="Enter a valid email address, e.g. name@erc.sa." sqref="Y7:Y66">
      <formula1>ISNUMBER(SEARCH("@",Y7))</formula1>
    </dataValidation>
  </dataValidations>
  <pageMargins left="0.75" right="0.75" top="1" bottom="1" header="0.5" footer="0.5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6B78E"/>
  </sheetPr>
  <dimension ref="A1:H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40" customWidth="1"/>
    <col min="3" max="3" width="26" customWidth="1"/>
    <col min="4" max="4" width="30" customWidth="1"/>
    <col min="5" max="5" width="28" customWidth="1"/>
    <col min="6" max="7" width="16" customWidth="1"/>
    <col min="8" max="8" width="30" customWidth="1"/>
  </cols>
  <sheetData>
    <row r="1" spans="1:8" ht="43.95" customHeight="1" x14ac:dyDescent="0.3">
      <c r="B1" s="23" t="s">
        <v>165</v>
      </c>
      <c r="C1" s="24"/>
      <c r="D1" s="24"/>
      <c r="E1" s="24"/>
      <c r="F1" s="24"/>
      <c r="G1" s="24"/>
      <c r="H1" s="24"/>
    </row>
    <row r="2" spans="1:8" ht="22.05" customHeight="1" x14ac:dyDescent="0.3">
      <c r="B2" s="25" t="s">
        <v>166</v>
      </c>
      <c r="C2" s="24"/>
      <c r="D2" s="24"/>
      <c r="E2" s="24"/>
      <c r="F2" s="24"/>
      <c r="G2" s="24"/>
      <c r="H2" s="24"/>
    </row>
    <row r="4" spans="1:8" x14ac:dyDescent="0.3">
      <c r="A4" s="9" t="s">
        <v>167</v>
      </c>
    </row>
    <row r="5" spans="1:8" ht="34.049999999999997" customHeight="1" x14ac:dyDescent="0.3">
      <c r="A5" s="10" t="s">
        <v>168</v>
      </c>
      <c r="B5" s="10" t="s">
        <v>169</v>
      </c>
      <c r="C5" s="10" t="s">
        <v>170</v>
      </c>
      <c r="D5" s="10" t="s">
        <v>171</v>
      </c>
      <c r="E5" s="10" t="s">
        <v>172</v>
      </c>
      <c r="F5" s="10" t="s">
        <v>173</v>
      </c>
      <c r="G5" s="10" t="s">
        <v>174</v>
      </c>
      <c r="H5" s="10" t="s">
        <v>144</v>
      </c>
    </row>
    <row r="6" spans="1:8" x14ac:dyDescent="0.3">
      <c r="A6" s="11" t="s">
        <v>155</v>
      </c>
      <c r="B6" s="11" t="s">
        <v>175</v>
      </c>
      <c r="C6" s="11" t="s">
        <v>176</v>
      </c>
      <c r="D6" s="11" t="s">
        <v>177</v>
      </c>
      <c r="E6" s="11" t="s">
        <v>178</v>
      </c>
      <c r="F6" s="11" t="s">
        <v>85</v>
      </c>
      <c r="G6" s="11" t="s">
        <v>179</v>
      </c>
      <c r="H6" s="11" t="s">
        <v>180</v>
      </c>
    </row>
    <row r="7" spans="1:8" ht="26.4" x14ac:dyDescent="0.3">
      <c r="A7" s="14" t="s">
        <v>155</v>
      </c>
      <c r="B7" s="14" t="s">
        <v>181</v>
      </c>
      <c r="C7" s="14"/>
      <c r="D7" s="14"/>
      <c r="E7" s="14"/>
      <c r="F7" s="14"/>
      <c r="G7" s="14"/>
      <c r="H7" s="14"/>
    </row>
    <row r="8" spans="1:8" ht="26.4" x14ac:dyDescent="0.3">
      <c r="A8" s="14" t="s">
        <v>182</v>
      </c>
      <c r="B8" s="14" t="s">
        <v>183</v>
      </c>
      <c r="C8" s="14"/>
      <c r="D8" s="14"/>
      <c r="E8" s="14"/>
      <c r="F8" s="14"/>
      <c r="G8" s="14"/>
      <c r="H8" s="14"/>
    </row>
    <row r="9" spans="1:8" ht="26.4" x14ac:dyDescent="0.3">
      <c r="A9" s="14" t="s">
        <v>184</v>
      </c>
      <c r="B9" s="14" t="s">
        <v>185</v>
      </c>
      <c r="C9" s="14"/>
      <c r="D9" s="14"/>
      <c r="E9" s="14"/>
      <c r="F9" s="14"/>
      <c r="G9" s="14"/>
      <c r="H9" s="14"/>
    </row>
    <row r="10" spans="1:8" x14ac:dyDescent="0.3">
      <c r="A10" s="14" t="s">
        <v>186</v>
      </c>
      <c r="B10" s="14" t="s">
        <v>187</v>
      </c>
      <c r="C10" s="14"/>
      <c r="D10" s="14"/>
      <c r="E10" s="14"/>
      <c r="F10" s="14"/>
      <c r="G10" s="14"/>
      <c r="H10" s="14"/>
    </row>
    <row r="11" spans="1:8" ht="26.4" x14ac:dyDescent="0.3">
      <c r="A11" s="14" t="s">
        <v>188</v>
      </c>
      <c r="B11" s="14" t="s">
        <v>189</v>
      </c>
      <c r="C11" s="14"/>
      <c r="D11" s="14"/>
      <c r="E11" s="14"/>
      <c r="F11" s="14"/>
      <c r="G11" s="14"/>
      <c r="H11" s="14"/>
    </row>
    <row r="12" spans="1:8" ht="26.4" x14ac:dyDescent="0.3">
      <c r="A12" s="14" t="s">
        <v>190</v>
      </c>
      <c r="B12" s="14" t="s">
        <v>191</v>
      </c>
      <c r="C12" s="14"/>
      <c r="D12" s="14"/>
      <c r="E12" s="14"/>
      <c r="F12" s="14"/>
      <c r="G12" s="14"/>
      <c r="H12" s="14"/>
    </row>
    <row r="13" spans="1:8" x14ac:dyDescent="0.3">
      <c r="A13" s="14" t="s">
        <v>156</v>
      </c>
      <c r="B13" s="14" t="s">
        <v>192</v>
      </c>
      <c r="C13" s="14"/>
      <c r="D13" s="14"/>
      <c r="E13" s="14"/>
      <c r="F13" s="14"/>
      <c r="G13" s="14"/>
      <c r="H13" s="14"/>
    </row>
    <row r="14" spans="1:8" x14ac:dyDescent="0.3">
      <c r="A14" s="14" t="s">
        <v>193</v>
      </c>
      <c r="B14" s="14" t="s">
        <v>194</v>
      </c>
      <c r="C14" s="14"/>
      <c r="D14" s="14"/>
      <c r="E14" s="14"/>
      <c r="F14" s="14"/>
      <c r="G14" s="14"/>
      <c r="H14" s="14"/>
    </row>
    <row r="15" spans="1:8" x14ac:dyDescent="0.3">
      <c r="A15" s="14"/>
      <c r="B15" s="14"/>
      <c r="C15" s="14"/>
      <c r="D15" s="14"/>
      <c r="E15" s="14"/>
      <c r="F15" s="14"/>
      <c r="G15" s="14"/>
      <c r="H15" s="14"/>
    </row>
    <row r="16" spans="1:8" x14ac:dyDescent="0.3">
      <c r="A16" s="14"/>
      <c r="B16" s="14"/>
      <c r="C16" s="14"/>
      <c r="D16" s="14"/>
      <c r="E16" s="14"/>
      <c r="F16" s="14"/>
      <c r="G16" s="14"/>
      <c r="H16" s="14"/>
    </row>
    <row r="17" spans="1:8" x14ac:dyDescent="0.3">
      <c r="A17" s="14"/>
      <c r="B17" s="14"/>
      <c r="C17" s="14"/>
      <c r="D17" s="14"/>
      <c r="E17" s="14"/>
      <c r="F17" s="14"/>
      <c r="G17" s="14"/>
      <c r="H17" s="14"/>
    </row>
    <row r="18" spans="1:8" x14ac:dyDescent="0.3">
      <c r="A18" s="14"/>
      <c r="B18" s="14"/>
      <c r="C18" s="14"/>
      <c r="D18" s="14"/>
      <c r="E18" s="14"/>
      <c r="F18" s="14"/>
      <c r="G18" s="14"/>
      <c r="H18" s="14"/>
    </row>
    <row r="19" spans="1:8" x14ac:dyDescent="0.3">
      <c r="A19" s="14"/>
      <c r="B19" s="14"/>
      <c r="C19" s="14"/>
      <c r="D19" s="14"/>
      <c r="E19" s="14"/>
      <c r="F19" s="14"/>
      <c r="G19" s="14"/>
      <c r="H19" s="14"/>
    </row>
    <row r="20" spans="1:8" x14ac:dyDescent="0.3">
      <c r="A20" s="14"/>
      <c r="B20" s="14"/>
      <c r="C20" s="14"/>
      <c r="D20" s="14"/>
      <c r="E20" s="14"/>
      <c r="F20" s="14"/>
      <c r="G20" s="14"/>
      <c r="H20" s="14"/>
    </row>
    <row r="21" spans="1:8" x14ac:dyDescent="0.3">
      <c r="A21" s="14"/>
      <c r="B21" s="14"/>
      <c r="C21" s="14"/>
      <c r="D21" s="14"/>
      <c r="E21" s="14"/>
      <c r="F21" s="14"/>
      <c r="G21" s="14"/>
      <c r="H21" s="14"/>
    </row>
    <row r="22" spans="1:8" x14ac:dyDescent="0.3">
      <c r="A22" s="14"/>
      <c r="B22" s="14"/>
      <c r="C22" s="14"/>
      <c r="D22" s="14"/>
      <c r="E22" s="14"/>
      <c r="F22" s="14"/>
      <c r="G22" s="14"/>
      <c r="H22" s="14"/>
    </row>
    <row r="23" spans="1:8" x14ac:dyDescent="0.3">
      <c r="A23" s="14"/>
      <c r="B23" s="14"/>
      <c r="C23" s="14"/>
      <c r="D23" s="14"/>
      <c r="E23" s="14"/>
      <c r="F23" s="14"/>
      <c r="G23" s="14"/>
      <c r="H23" s="14"/>
    </row>
    <row r="24" spans="1:8" x14ac:dyDescent="0.3">
      <c r="A24" s="14"/>
      <c r="B24" s="14"/>
      <c r="C24" s="14"/>
      <c r="D24" s="14"/>
      <c r="E24" s="14"/>
      <c r="F24" s="14"/>
      <c r="G24" s="14"/>
      <c r="H24" s="14"/>
    </row>
    <row r="25" spans="1:8" x14ac:dyDescent="0.3">
      <c r="A25" s="14"/>
      <c r="B25" s="14"/>
      <c r="C25" s="14"/>
      <c r="D25" s="14"/>
      <c r="E25" s="14"/>
      <c r="F25" s="14"/>
      <c r="G25" s="14"/>
      <c r="H25" s="14"/>
    </row>
    <row r="26" spans="1:8" x14ac:dyDescent="0.3">
      <c r="A26" s="14"/>
      <c r="B26" s="14"/>
      <c r="C26" s="14"/>
      <c r="D26" s="14"/>
      <c r="E26" s="14"/>
      <c r="F26" s="14"/>
      <c r="G26" s="14"/>
      <c r="H26" s="14"/>
    </row>
    <row r="27" spans="1:8" x14ac:dyDescent="0.3">
      <c r="A27" s="14"/>
      <c r="B27" s="14"/>
      <c r="C27" s="14"/>
      <c r="D27" s="14"/>
      <c r="E27" s="14"/>
      <c r="F27" s="14"/>
      <c r="G27" s="14"/>
      <c r="H27" s="14"/>
    </row>
    <row r="28" spans="1:8" x14ac:dyDescent="0.3">
      <c r="A28" s="14"/>
      <c r="B28" s="14"/>
      <c r="C28" s="14"/>
      <c r="D28" s="14"/>
      <c r="E28" s="14"/>
      <c r="F28" s="14"/>
      <c r="G28" s="14"/>
      <c r="H28" s="14"/>
    </row>
    <row r="29" spans="1:8" x14ac:dyDescent="0.3">
      <c r="A29" s="14"/>
      <c r="B29" s="14"/>
      <c r="C29" s="14"/>
      <c r="D29" s="14"/>
      <c r="E29" s="14"/>
      <c r="F29" s="14"/>
      <c r="G29" s="14"/>
      <c r="H29" s="14"/>
    </row>
    <row r="30" spans="1:8" x14ac:dyDescent="0.3">
      <c r="A30" s="14"/>
      <c r="B30" s="14"/>
      <c r="C30" s="14"/>
      <c r="D30" s="14"/>
      <c r="E30" s="14"/>
      <c r="F30" s="14"/>
      <c r="G30" s="14"/>
      <c r="H30" s="14"/>
    </row>
    <row r="31" spans="1:8" x14ac:dyDescent="0.3">
      <c r="A31" s="14"/>
      <c r="B31" s="14"/>
      <c r="C31" s="14"/>
      <c r="D31" s="14"/>
      <c r="E31" s="14"/>
      <c r="F31" s="14"/>
      <c r="G31" s="14"/>
      <c r="H31" s="14"/>
    </row>
    <row r="32" spans="1:8" x14ac:dyDescent="0.3">
      <c r="A32" s="14"/>
      <c r="B32" s="14"/>
      <c r="C32" s="14"/>
      <c r="D32" s="14"/>
      <c r="E32" s="14"/>
      <c r="F32" s="14"/>
      <c r="G32" s="14"/>
      <c r="H32" s="14"/>
    </row>
    <row r="33" spans="1:8" x14ac:dyDescent="0.3">
      <c r="A33" s="14"/>
      <c r="B33" s="14"/>
      <c r="C33" s="14"/>
      <c r="D33" s="14"/>
      <c r="E33" s="14"/>
      <c r="F33" s="14"/>
      <c r="G33" s="14"/>
      <c r="H33" s="14"/>
    </row>
    <row r="34" spans="1:8" x14ac:dyDescent="0.3">
      <c r="A34" s="14"/>
      <c r="B34" s="14"/>
      <c r="C34" s="14"/>
      <c r="D34" s="14"/>
      <c r="E34" s="14"/>
      <c r="F34" s="14"/>
      <c r="G34" s="14"/>
      <c r="H34" s="14"/>
    </row>
    <row r="35" spans="1:8" x14ac:dyDescent="0.3">
      <c r="A35" s="14"/>
      <c r="B35" s="14"/>
      <c r="C35" s="14"/>
      <c r="D35" s="14"/>
      <c r="E35" s="14"/>
      <c r="F35" s="14"/>
      <c r="G35" s="14"/>
      <c r="H35" s="14"/>
    </row>
    <row r="36" spans="1:8" x14ac:dyDescent="0.3">
      <c r="A36" s="14"/>
      <c r="B36" s="14"/>
      <c r="C36" s="14"/>
      <c r="D36" s="14"/>
      <c r="E36" s="14"/>
      <c r="F36" s="14"/>
      <c r="G36" s="14"/>
      <c r="H36" s="14"/>
    </row>
    <row r="37" spans="1:8" x14ac:dyDescent="0.3">
      <c r="A37" s="14"/>
      <c r="B37" s="14"/>
      <c r="C37" s="14"/>
      <c r="D37" s="14"/>
      <c r="E37" s="14"/>
      <c r="F37" s="14"/>
      <c r="G37" s="14"/>
      <c r="H37" s="14"/>
    </row>
    <row r="38" spans="1:8" x14ac:dyDescent="0.3">
      <c r="A38" s="14"/>
      <c r="B38" s="14"/>
      <c r="C38" s="14"/>
      <c r="D38" s="14"/>
      <c r="E38" s="14"/>
      <c r="F38" s="14"/>
      <c r="G38" s="14"/>
      <c r="H38" s="14"/>
    </row>
    <row r="39" spans="1:8" x14ac:dyDescent="0.3">
      <c r="A39" s="14"/>
      <c r="B39" s="14"/>
      <c r="C39" s="14"/>
      <c r="D39" s="14"/>
      <c r="E39" s="14"/>
      <c r="F39" s="14"/>
      <c r="G39" s="14"/>
      <c r="H39" s="14"/>
    </row>
    <row r="40" spans="1:8" x14ac:dyDescent="0.3">
      <c r="A40" s="14"/>
      <c r="B40" s="14"/>
      <c r="C40" s="14"/>
      <c r="D40" s="14"/>
      <c r="E40" s="14"/>
      <c r="F40" s="14"/>
      <c r="G40" s="14"/>
      <c r="H40" s="14"/>
    </row>
    <row r="41" spans="1:8" x14ac:dyDescent="0.3">
      <c r="A41" s="14"/>
      <c r="B41" s="14"/>
      <c r="C41" s="14"/>
      <c r="D41" s="14"/>
      <c r="E41" s="14"/>
      <c r="F41" s="14"/>
      <c r="G41" s="14"/>
      <c r="H41" s="14"/>
    </row>
    <row r="42" spans="1:8" x14ac:dyDescent="0.3">
      <c r="A42" s="14"/>
      <c r="B42" s="14"/>
      <c r="C42" s="14"/>
      <c r="D42" s="14"/>
      <c r="E42" s="14"/>
      <c r="F42" s="14"/>
      <c r="G42" s="14"/>
      <c r="H42" s="14"/>
    </row>
    <row r="43" spans="1:8" x14ac:dyDescent="0.3">
      <c r="A43" s="14"/>
      <c r="B43" s="14"/>
      <c r="C43" s="14"/>
      <c r="D43" s="14"/>
      <c r="E43" s="14"/>
      <c r="F43" s="14"/>
      <c r="G43" s="14"/>
      <c r="H43" s="14"/>
    </row>
    <row r="44" spans="1:8" x14ac:dyDescent="0.3">
      <c r="A44" s="14"/>
      <c r="B44" s="14"/>
      <c r="C44" s="14"/>
      <c r="D44" s="14"/>
      <c r="E44" s="14"/>
      <c r="F44" s="14"/>
      <c r="G44" s="14"/>
      <c r="H44" s="14"/>
    </row>
    <row r="45" spans="1:8" x14ac:dyDescent="0.3">
      <c r="A45" s="14"/>
      <c r="B45" s="14"/>
      <c r="C45" s="14"/>
      <c r="D45" s="14"/>
      <c r="E45" s="14"/>
      <c r="F45" s="14"/>
      <c r="G45" s="14"/>
      <c r="H45" s="14"/>
    </row>
    <row r="46" spans="1:8" x14ac:dyDescent="0.3">
      <c r="A46" s="14"/>
      <c r="B46" s="14"/>
      <c r="C46" s="14"/>
      <c r="D46" s="14"/>
      <c r="E46" s="14"/>
      <c r="F46" s="14"/>
      <c r="G46" s="14"/>
      <c r="H46" s="14"/>
    </row>
    <row r="47" spans="1:8" x14ac:dyDescent="0.3">
      <c r="A47" s="14"/>
      <c r="B47" s="14"/>
      <c r="C47" s="14"/>
      <c r="D47" s="14"/>
      <c r="E47" s="14"/>
      <c r="F47" s="14"/>
      <c r="G47" s="14"/>
      <c r="H47" s="14"/>
    </row>
    <row r="48" spans="1:8" x14ac:dyDescent="0.3">
      <c r="A48" s="14"/>
      <c r="B48" s="14"/>
      <c r="C48" s="14"/>
      <c r="D48" s="14"/>
      <c r="E48" s="14"/>
      <c r="F48" s="14"/>
      <c r="G48" s="14"/>
      <c r="H48" s="14"/>
    </row>
    <row r="49" spans="1:8" x14ac:dyDescent="0.3">
      <c r="A49" s="14"/>
      <c r="B49" s="14"/>
      <c r="C49" s="14"/>
      <c r="D49" s="14"/>
      <c r="E49" s="14"/>
      <c r="F49" s="14"/>
      <c r="G49" s="14"/>
      <c r="H49" s="14"/>
    </row>
    <row r="50" spans="1:8" x14ac:dyDescent="0.3">
      <c r="A50" s="14"/>
      <c r="B50" s="14"/>
      <c r="C50" s="14"/>
      <c r="D50" s="14"/>
      <c r="E50" s="14"/>
      <c r="F50" s="14"/>
      <c r="G50" s="14"/>
      <c r="H50" s="14"/>
    </row>
    <row r="51" spans="1:8" x14ac:dyDescent="0.3">
      <c r="A51" s="14"/>
      <c r="B51" s="14"/>
      <c r="C51" s="14"/>
      <c r="D51" s="14"/>
      <c r="E51" s="14"/>
      <c r="F51" s="14"/>
      <c r="G51" s="14"/>
      <c r="H51" s="14"/>
    </row>
    <row r="52" spans="1:8" x14ac:dyDescent="0.3">
      <c r="A52" s="14"/>
      <c r="B52" s="14"/>
      <c r="C52" s="14"/>
      <c r="D52" s="14"/>
      <c r="E52" s="14"/>
      <c r="F52" s="14"/>
      <c r="G52" s="14"/>
      <c r="H52" s="14"/>
    </row>
    <row r="53" spans="1:8" x14ac:dyDescent="0.3">
      <c r="A53" s="14"/>
      <c r="B53" s="14"/>
      <c r="C53" s="14"/>
      <c r="D53" s="14"/>
      <c r="E53" s="14"/>
      <c r="F53" s="14"/>
      <c r="G53" s="14"/>
      <c r="H53" s="14"/>
    </row>
    <row r="54" spans="1:8" x14ac:dyDescent="0.3">
      <c r="A54" s="14"/>
      <c r="B54" s="14"/>
      <c r="C54" s="14"/>
      <c r="D54" s="14"/>
      <c r="E54" s="14"/>
      <c r="F54" s="14"/>
      <c r="G54" s="14"/>
      <c r="H54" s="14"/>
    </row>
    <row r="55" spans="1:8" x14ac:dyDescent="0.3">
      <c r="A55" s="14"/>
      <c r="B55" s="14"/>
      <c r="C55" s="14"/>
      <c r="D55" s="14"/>
      <c r="E55" s="14"/>
      <c r="F55" s="14"/>
      <c r="G55" s="14"/>
      <c r="H55" s="14"/>
    </row>
    <row r="56" spans="1:8" x14ac:dyDescent="0.3">
      <c r="A56" s="14"/>
      <c r="B56" s="14"/>
      <c r="C56" s="14"/>
      <c r="D56" s="14"/>
      <c r="E56" s="14"/>
      <c r="F56" s="14"/>
      <c r="G56" s="14"/>
      <c r="H56" s="14"/>
    </row>
    <row r="57" spans="1:8" x14ac:dyDescent="0.3">
      <c r="A57" s="14"/>
      <c r="B57" s="14"/>
      <c r="C57" s="14"/>
      <c r="D57" s="14"/>
      <c r="E57" s="14"/>
      <c r="F57" s="14"/>
      <c r="G57" s="14"/>
      <c r="H57" s="14"/>
    </row>
    <row r="58" spans="1:8" x14ac:dyDescent="0.3">
      <c r="A58" s="14"/>
      <c r="B58" s="14"/>
      <c r="C58" s="14"/>
      <c r="D58" s="14"/>
      <c r="E58" s="14"/>
      <c r="F58" s="14"/>
      <c r="G58" s="14"/>
      <c r="H58" s="14"/>
    </row>
    <row r="59" spans="1:8" x14ac:dyDescent="0.3">
      <c r="A59" s="14"/>
      <c r="B59" s="14"/>
      <c r="C59" s="14"/>
      <c r="D59" s="14"/>
      <c r="E59" s="14"/>
      <c r="F59" s="14"/>
      <c r="G59" s="14"/>
      <c r="H59" s="14"/>
    </row>
    <row r="60" spans="1:8" x14ac:dyDescent="0.3">
      <c r="A60" s="14"/>
      <c r="B60" s="14"/>
      <c r="C60" s="14"/>
      <c r="D60" s="14"/>
      <c r="E60" s="14"/>
      <c r="F60" s="14"/>
      <c r="G60" s="14"/>
      <c r="H60" s="14"/>
    </row>
    <row r="61" spans="1:8" x14ac:dyDescent="0.3">
      <c r="A61" s="14"/>
      <c r="B61" s="14"/>
      <c r="C61" s="14"/>
      <c r="D61" s="14"/>
      <c r="E61" s="14"/>
      <c r="F61" s="14"/>
      <c r="G61" s="14"/>
      <c r="H61" s="14"/>
    </row>
    <row r="62" spans="1:8" x14ac:dyDescent="0.3">
      <c r="A62" s="14"/>
      <c r="B62" s="14"/>
      <c r="C62" s="14"/>
      <c r="D62" s="14"/>
      <c r="E62" s="14"/>
      <c r="F62" s="14"/>
      <c r="G62" s="14"/>
      <c r="H62" s="14"/>
    </row>
    <row r="63" spans="1:8" x14ac:dyDescent="0.3">
      <c r="A63" s="14"/>
      <c r="B63" s="14"/>
      <c r="C63" s="14"/>
      <c r="D63" s="14"/>
      <c r="E63" s="14"/>
      <c r="F63" s="14"/>
      <c r="G63" s="14"/>
      <c r="H63" s="14"/>
    </row>
    <row r="64" spans="1:8" x14ac:dyDescent="0.3">
      <c r="A64" s="14"/>
      <c r="B64" s="14"/>
      <c r="C64" s="14"/>
      <c r="D64" s="14"/>
      <c r="E64" s="14"/>
      <c r="F64" s="14"/>
      <c r="G64" s="14"/>
      <c r="H64" s="14"/>
    </row>
    <row r="65" spans="1:8" x14ac:dyDescent="0.3">
      <c r="A65" s="14"/>
      <c r="B65" s="14"/>
      <c r="C65" s="14"/>
      <c r="D65" s="14"/>
      <c r="E65" s="14"/>
      <c r="F65" s="14"/>
      <c r="G65" s="14"/>
      <c r="H65" s="14"/>
    </row>
    <row r="66" spans="1:8" x14ac:dyDescent="0.3">
      <c r="A66" s="14"/>
      <c r="B66" s="14"/>
      <c r="C66" s="14"/>
      <c r="D66" s="14"/>
      <c r="E66" s="14"/>
      <c r="F66" s="14"/>
      <c r="G66" s="14"/>
      <c r="H66" s="14"/>
    </row>
  </sheetData>
  <mergeCells count="2">
    <mergeCell ref="B1:H1"/>
    <mergeCell ref="B2:H2"/>
  </mergeCells>
  <dataValidations count="4">
    <dataValidation type="list" allowBlank="1" sqref="A7:A66">
      <formula1>GroupNames</formula1>
    </dataValidation>
    <dataValidation type="list" allowBlank="1" showErrorMessage="1" errorTitle="Pick from the list" error="Choose a value from the dropdown, or add it to the list first." sqref="F7:F66">
      <formula1>YesNo</formula1>
    </dataValidation>
    <dataValidation type="list" allowBlank="1" showErrorMessage="1" errorTitle="Pick from the list" error="Choose a value from the dropdown, or add it to the list first." sqref="G7:G66">
      <formula1>YesNo</formula1>
    </dataValidation>
    <dataValidation type="custom" allowBlank="1" showErrorMessage="1" errorTitle="Email address" error="Enter a valid email address, e.g. name@erc.sa." sqref="D7:D66">
      <formula1>ISNUMBER(SEARCH("@",D7))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="90" workbookViewId="0"/>
  </sheetViews>
  <sheetFormatPr defaultRowHeight="14.4" x14ac:dyDescent="0.3"/>
  <sheetData>
    <row r="1" spans="1:15" x14ac:dyDescent="0.3">
      <c r="A1" s="22" t="s">
        <v>93</v>
      </c>
      <c r="B1" s="22" t="s">
        <v>97</v>
      </c>
      <c r="C1" s="22" t="s">
        <v>195</v>
      </c>
      <c r="D1" s="22" t="s">
        <v>196</v>
      </c>
      <c r="E1" s="22" t="s">
        <v>122</v>
      </c>
      <c r="F1" s="22" t="s">
        <v>197</v>
      </c>
      <c r="G1" s="22" t="s">
        <v>127</v>
      </c>
      <c r="H1" s="22" t="s">
        <v>128</v>
      </c>
      <c r="I1" s="22" t="s">
        <v>198</v>
      </c>
      <c r="J1" s="22" t="s">
        <v>199</v>
      </c>
      <c r="K1" s="22" t="s">
        <v>200</v>
      </c>
      <c r="L1" s="22" t="s">
        <v>201</v>
      </c>
      <c r="M1" s="22" t="s">
        <v>202</v>
      </c>
      <c r="N1" s="22" t="s">
        <v>203</v>
      </c>
      <c r="O1" s="22" t="s">
        <v>204</v>
      </c>
    </row>
    <row r="2" spans="1:15" x14ac:dyDescent="0.3">
      <c r="A2" t="s">
        <v>205</v>
      </c>
      <c r="B2" t="s">
        <v>108</v>
      </c>
      <c r="C2" t="s">
        <v>206</v>
      </c>
      <c r="D2" t="s">
        <v>148</v>
      </c>
      <c r="E2" t="s">
        <v>149</v>
      </c>
      <c r="F2" t="s">
        <v>147</v>
      </c>
      <c r="G2" t="s">
        <v>207</v>
      </c>
      <c r="H2" t="s">
        <v>154</v>
      </c>
      <c r="I2" t="s">
        <v>158</v>
      </c>
      <c r="J2" t="s">
        <v>85</v>
      </c>
      <c r="K2" t="s">
        <v>62</v>
      </c>
      <c r="L2" t="s">
        <v>88</v>
      </c>
      <c r="M2" t="s">
        <v>208</v>
      </c>
      <c r="N2" t="s">
        <v>209</v>
      </c>
      <c r="O2" t="s">
        <v>155</v>
      </c>
    </row>
    <row r="3" spans="1:15" x14ac:dyDescent="0.3">
      <c r="A3" t="s">
        <v>210</v>
      </c>
      <c r="B3" t="s">
        <v>211</v>
      </c>
      <c r="C3" t="s">
        <v>212</v>
      </c>
      <c r="D3" t="s">
        <v>213</v>
      </c>
      <c r="E3" t="s">
        <v>214</v>
      </c>
      <c r="F3" t="s">
        <v>161</v>
      </c>
      <c r="G3" t="s">
        <v>153</v>
      </c>
      <c r="H3" t="s">
        <v>215</v>
      </c>
      <c r="I3" t="s">
        <v>216</v>
      </c>
      <c r="J3" t="s">
        <v>179</v>
      </c>
      <c r="K3" t="s">
        <v>217</v>
      </c>
      <c r="L3" t="s">
        <v>218</v>
      </c>
      <c r="M3" t="s">
        <v>219</v>
      </c>
      <c r="N3" t="s">
        <v>220</v>
      </c>
      <c r="O3" t="s">
        <v>182</v>
      </c>
    </row>
    <row r="4" spans="1:15" x14ac:dyDescent="0.3">
      <c r="A4" t="s">
        <v>221</v>
      </c>
      <c r="B4" t="s">
        <v>222</v>
      </c>
      <c r="C4" t="s">
        <v>223</v>
      </c>
      <c r="D4" t="s">
        <v>224</v>
      </c>
      <c r="E4" t="s">
        <v>225</v>
      </c>
      <c r="F4" t="s">
        <v>226</v>
      </c>
      <c r="G4" t="s">
        <v>227</v>
      </c>
      <c r="I4" t="s">
        <v>228</v>
      </c>
      <c r="K4" t="s">
        <v>229</v>
      </c>
      <c r="M4" t="s">
        <v>230</v>
      </c>
      <c r="N4" t="s">
        <v>231</v>
      </c>
      <c r="O4" t="s">
        <v>184</v>
      </c>
    </row>
    <row r="5" spans="1:15" x14ac:dyDescent="0.3">
      <c r="A5" t="s">
        <v>232</v>
      </c>
      <c r="B5" t="s">
        <v>233</v>
      </c>
      <c r="C5" t="s">
        <v>234</v>
      </c>
      <c r="D5" t="s">
        <v>235</v>
      </c>
      <c r="E5" t="s">
        <v>236</v>
      </c>
      <c r="F5" t="s">
        <v>237</v>
      </c>
      <c r="G5" t="s">
        <v>238</v>
      </c>
      <c r="I5" t="s">
        <v>239</v>
      </c>
      <c r="K5" t="s">
        <v>240</v>
      </c>
      <c r="M5" t="s">
        <v>241</v>
      </c>
      <c r="N5" t="s">
        <v>242</v>
      </c>
      <c r="O5" t="s">
        <v>186</v>
      </c>
    </row>
    <row r="6" spans="1:15" x14ac:dyDescent="0.3">
      <c r="A6" t="s">
        <v>104</v>
      </c>
      <c r="C6" t="s">
        <v>113</v>
      </c>
      <c r="D6" t="s">
        <v>243</v>
      </c>
      <c r="E6" t="s">
        <v>244</v>
      </c>
      <c r="F6" t="s">
        <v>245</v>
      </c>
      <c r="K6" t="s">
        <v>246</v>
      </c>
      <c r="M6" t="s">
        <v>247</v>
      </c>
      <c r="N6" t="s">
        <v>248</v>
      </c>
      <c r="O6" t="s">
        <v>188</v>
      </c>
    </row>
    <row r="7" spans="1:15" x14ac:dyDescent="0.3">
      <c r="A7" t="s">
        <v>249</v>
      </c>
      <c r="D7" t="s">
        <v>250</v>
      </c>
      <c r="F7" t="s">
        <v>251</v>
      </c>
      <c r="M7" t="s">
        <v>84</v>
      </c>
      <c r="N7" t="s">
        <v>252</v>
      </c>
      <c r="O7" t="s">
        <v>190</v>
      </c>
    </row>
    <row r="8" spans="1:15" x14ac:dyDescent="0.3">
      <c r="A8" t="s">
        <v>253</v>
      </c>
      <c r="D8" t="s">
        <v>254</v>
      </c>
      <c r="M8" t="s">
        <v>255</v>
      </c>
      <c r="N8" t="s">
        <v>256</v>
      </c>
      <c r="O8" t="s">
        <v>156</v>
      </c>
    </row>
    <row r="9" spans="1:15" x14ac:dyDescent="0.3">
      <c r="A9" t="s">
        <v>257</v>
      </c>
      <c r="D9" t="s">
        <v>258</v>
      </c>
      <c r="M9" t="s">
        <v>259</v>
      </c>
      <c r="N9" t="s">
        <v>259</v>
      </c>
      <c r="O9" t="s">
        <v>193</v>
      </c>
    </row>
    <row r="10" spans="1:15" x14ac:dyDescent="0.3">
      <c r="A10" t="s">
        <v>260</v>
      </c>
      <c r="D10" t="s">
        <v>261</v>
      </c>
      <c r="M10" t="s">
        <v>262</v>
      </c>
      <c r="N10" t="s">
        <v>263</v>
      </c>
    </row>
    <row r="11" spans="1:15" x14ac:dyDescent="0.3">
      <c r="A11" t="s">
        <v>251</v>
      </c>
      <c r="D11" t="s">
        <v>264</v>
      </c>
      <c r="M11" t="s">
        <v>265</v>
      </c>
      <c r="N11" t="s">
        <v>266</v>
      </c>
    </row>
    <row r="12" spans="1:15" x14ac:dyDescent="0.3">
      <c r="D12" t="s">
        <v>251</v>
      </c>
      <c r="M12" t="s">
        <v>267</v>
      </c>
      <c r="N12" t="s">
        <v>268</v>
      </c>
    </row>
    <row r="13" spans="1:15" x14ac:dyDescent="0.3">
      <c r="M13" t="s">
        <v>269</v>
      </c>
      <c r="N13" t="s">
        <v>270</v>
      </c>
    </row>
    <row r="14" spans="1:15" x14ac:dyDescent="0.3">
      <c r="M14" t="s">
        <v>271</v>
      </c>
      <c r="N14" t="s">
        <v>272</v>
      </c>
    </row>
    <row r="15" spans="1:15" x14ac:dyDescent="0.3">
      <c r="M15" t="s">
        <v>273</v>
      </c>
      <c r="N15" t="s">
        <v>274</v>
      </c>
    </row>
    <row r="16" spans="1:15" x14ac:dyDescent="0.3">
      <c r="M16" t="s">
        <v>275</v>
      </c>
      <c r="N16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16</vt:i4>
      </vt:variant>
    </vt:vector>
  </HeadingPairs>
  <TitlesOfParts>
    <vt:vector size="23" baseType="lpstr">
      <vt:lpstr>Instructions</vt:lpstr>
      <vt:lpstr>Service Catalog</vt:lpstr>
      <vt:lpstr>Request Form Fields</vt:lpstr>
      <vt:lpstr>Other Requirements</vt:lpstr>
      <vt:lpstr>SLA</vt:lpstr>
      <vt:lpstr>Groups &amp; Contacts</vt:lpstr>
      <vt:lpstr>Lists</vt:lpstr>
      <vt:lpstr>Area</vt:lpstr>
      <vt:lpstr>Calendar</vt:lpstr>
      <vt:lpstr>Channel</vt:lpstr>
      <vt:lpstr>FieldType</vt:lpstr>
      <vt:lpstr>FilledBy</vt:lpstr>
      <vt:lpstr>GroupNames</vt:lpstr>
      <vt:lpstr>JiraField</vt:lpstr>
      <vt:lpstr>Priority</vt:lpstr>
      <vt:lpstr>ReportCategory</vt:lpstr>
      <vt:lpstr>ReqStatus</vt:lpstr>
      <vt:lpstr>Requesters</vt:lpstr>
      <vt:lpstr>ServiceNames</vt:lpstr>
      <vt:lpstr>Severity</vt:lpstr>
      <vt:lpstr>Stage</vt:lpstr>
      <vt:lpstr>Unit</vt:lpstr>
      <vt:lpstr>YesNo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2026-10-19T18:52:21Z</dcterms:created>
  <dcterms:modified xsi:type="dcterms:W3CDTF">2026-10-19T18:52:31Z</dcterms:modified>
</cp:coreProperties>
</file>