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rvice Catalog" sheetId="2" state="visible" r:id="rId2"/>
    <sheet xmlns:r="http://schemas.openxmlformats.org/officeDocument/2006/relationships" name="Request Form Fields" sheetId="3" state="visible" r:id="rId3"/>
    <sheet xmlns:r="http://schemas.openxmlformats.org/officeDocument/2006/relationships" name="Other Requirements" sheetId="4" state="visible" r:id="rId4"/>
    <sheet xmlns:r="http://schemas.openxmlformats.org/officeDocument/2006/relationships" name="SLA" sheetId="5" state="visible" r:id="rId5"/>
    <sheet xmlns:r="http://schemas.openxmlformats.org/officeDocument/2006/relationships" name="Groups &amp; Contacts" sheetId="6" state="visible" r:id="rId6"/>
    <sheet xmlns:r="http://schemas.openxmlformats.org/officeDocument/2006/relationships" name="Lists" sheetId="7" state="hidden" r:id="rId7"/>
  </sheets>
  <definedNames>
    <definedName name="Area">Lists!$A$2:$A$11</definedName>
    <definedName name="Priority">Lists!$B$2:$B$5</definedName>
    <definedName name="ReqStatus">Lists!$C$2:$C$6</definedName>
    <definedName name="ReportCategory">Lists!$D$2:$D$12</definedName>
    <definedName name="Severity">Lists!$E$2:$E$6</definedName>
    <definedName name="Stage">Lists!$F$2:$F$7</definedName>
    <definedName name="Unit">Lists!$G$2:$G$5</definedName>
    <definedName name="Calendar">Lists!$H$2:$H$3</definedName>
    <definedName name="Channel">Lists!$I$2:$I$5</definedName>
    <definedName name="YesNo">Lists!$J$2:$J$3</definedName>
    <definedName name="Requesters">Lists!$K$2:$K$6</definedName>
    <definedName name="Approvers">Lists!$L$2:$L$6</definedName>
    <definedName name="FilledBy">Lists!$M$2:$M$3</definedName>
    <definedName name="FieldType">Lists!$N$2:$N$16</definedName>
    <definedName name="JiraField">Lists!$O$2:$O$16</definedName>
    <definedName name="ServiceNames">'Service Catalog'!$C$6:$C$66</definedName>
    <definedName name="GroupNames">Lists!$P$2:$P$9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6"/>
    </font>
    <font>
      <name val="Arial"/>
      <color rgb="0036B78E"/>
      <sz val="10"/>
    </font>
    <font>
      <name val="Arial"/>
      <b val="1"/>
      <color rgb="00024638"/>
      <sz val="12"/>
    </font>
    <font>
      <name val="Arial"/>
      <sz val="10"/>
    </font>
    <font>
      <name val="Arial"/>
      <b val="1"/>
      <color rgb="00228848"/>
      <sz val="10"/>
    </font>
    <font>
      <name val="Arial"/>
      <i val="1"/>
      <color rgb="005E716B"/>
      <sz val="10"/>
    </font>
    <font>
      <name val="Arial"/>
      <b val="1"/>
      <color rgb="00FFFFFF"/>
      <sz val="10"/>
    </font>
    <font>
      <name val="Arial"/>
      <color rgb="001D2B27"/>
      <sz val="10"/>
    </font>
    <font>
      <name val="Arial"/>
      <color rgb="005E716B"/>
      <sz val="10"/>
    </font>
  </fonts>
  <fills count="6">
    <fill>
      <patternFill/>
    </fill>
    <fill>
      <patternFill patternType="gray125"/>
    </fill>
    <fill>
      <patternFill patternType="solid">
        <fgColor rgb="00024638"/>
      </patternFill>
    </fill>
    <fill>
      <patternFill patternType="solid">
        <fgColor rgb="00FFF8D6"/>
      </patternFill>
    </fill>
    <fill>
      <patternFill patternType="solid">
        <fgColor rgb="00F1F6F3"/>
      </patternFill>
    </fill>
    <fill>
      <patternFill patternType="solid">
        <fgColor rgb="00EEF7F3"/>
      </patternFill>
    </fill>
  </fills>
  <borders count="2">
    <border>
      <left/>
      <right/>
      <top/>
      <bottom/>
      <diagonal/>
    </border>
    <border>
      <left style="thin">
        <color rgb="00D6E6DF"/>
      </left>
      <right style="thin">
        <color rgb="00D6E6DF"/>
      </right>
      <top style="thin">
        <color rgb="00D6E6DF"/>
      </top>
      <bottom style="thin">
        <color rgb="00D6E6D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1" fillId="3" borderId="1" pivotButton="0" quotePrefix="0" xfId="0"/>
    <xf numFmtId="0" fontId="5" fillId="0" borderId="1" applyAlignment="1" pivotButton="0" quotePrefix="0" xfId="0">
      <alignment vertical="top" wrapText="1"/>
    </xf>
    <xf numFmtId="0" fontId="1" fillId="4" borderId="1" pivotButton="0" quotePrefix="0" xfId="0"/>
    <xf numFmtId="0" fontId="1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0" borderId="1" applyAlignment="1" pivotButton="0" quotePrefix="0" xfId="0">
      <alignment horizontal="left"/>
    </xf>
    <xf numFmtId="0" fontId="6" fillId="5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/>
    </xf>
    <xf numFmtId="164" fontId="7" fillId="4" borderId="1" applyAlignment="1" pivotButton="0" quotePrefix="0" xfId="0">
      <alignment vertical="top" wrapText="1"/>
    </xf>
    <xf numFmtId="164" fontId="9" fillId="3" borderId="1" applyAlignment="1" pivotButton="0" quotePrefix="0" xfId="0">
      <alignment vertical="top" wrapText="1"/>
    </xf>
    <xf numFmtId="9" fontId="7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9" fontId="7" fillId="3" borderId="1" applyAlignment="1" pivotButton="0" quotePrefix="0" xfId="0">
      <alignment vertical="top" wrapText="1"/>
    </xf>
    <xf numFmtId="9" fontId="9" fillId="3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Ejada</author>
  </authors>
  <commentList>
    <comment ref="E5" authorId="0" shapeId="0">
      <text>
        <t>Anonymous = a public portal with no sign-in. Specific departments or groups: name them in Notes.</t>
      </text>
    </comment>
    <comment ref="F5" authorId="0" shapeId="0">
      <text>
        <t>Who must approve before work starts. 'None' or blank = no approval. Line manager / department head need the reporting line in the HR data.</t>
      </text>
    </comment>
    <comment ref="I5" authorId="0" shapeId="0">
      <text>
        <t>The team that receives and works the request first. L2 = the team it is handed to next, if any.</t>
      </text>
    </comment>
    <comment ref="L5" authorId="0" shapeId="0">
      <text>
        <t>Automatic: how many approval levels this service needs.</t>
      </text>
    </comment>
    <comment ref="M5" authorId="0" shapeId="0">
      <text>
        <t>Automatic: how many fields are listed for this service on the 'Request Form Fields' sheet.</t>
      </text>
    </comment>
  </commentList>
</comments>
</file>

<file path=xl/comments/comment2.xml><?xml version="1.0" encoding="utf-8"?>
<comments xmlns="http://schemas.openxmlformats.org/spreadsheetml/2006/main">
  <authors>
    <author>Ejada</author>
  </authors>
  <commentList>
    <comment ref="F5" authorId="0" shapeId="0">
      <text>
        <t>Pick the closest type; the grey 'Jira: field type' column shows what it becomes in Jira.</t>
      </text>
    </comment>
    <comment ref="H5" authorId="0" shapeId="0">
      <text>
        <t>Only for Dropdown and Checkboxes, e.g. High; Medium; Low.</t>
      </text>
    </comment>
    <comment ref="J5" authorId="0" shapeId="0">
      <text>
        <t>Internal team only = hidden from the requester, filled in by the team that works the request.</t>
      </text>
    </comment>
    <comment ref="K5" authorId="0" shapeId="0">
      <text>
        <t>Automatic, from 'Field type'.</t>
      </text>
    </comment>
  </commentList>
</comments>
</file>

<file path=xl/comments/comment3.xml><?xml version="1.0" encoding="utf-8"?>
<comments xmlns="http://schemas.openxmlformats.org/spreadsheetml/2006/main">
  <authors>
    <author>Ejada</author>
  </authors>
  <commentList>
    <comment ref="F5" authorId="0" shapeId="0">
      <text>
        <t>Must have = go-live blocker. Should have = important, can follow shortly after. Could have = nice to have.</t>
      </text>
    </comment>
    <comment ref="I5" authorId="0" shapeId="0">
      <text>
        <t>Describe the test that proves the requirement is met.</t>
      </text>
    </comment>
    <comment ref="K5" authorId="0" shapeId="0">
      <text>
        <t>Filled in jointly with Ejada during review.</t>
      </text>
    </comment>
  </commentList>
</comments>
</file>

<file path=xl/comments/comment4.xml><?xml version="1.0" encoding="utf-8"?>
<comments xmlns="http://schemas.openxmlformats.org/spreadsheetml/2006/main">
  <authors>
    <author>Ejada</author>
  </authors>
  <commentList>
    <comment ref="D5" authorId="0" shapeId="0">
      <text>
        <t>Leave 'All categories' unless a category needs its own target - then add one row per category.</t>
      </text>
    </comment>
    <comment ref="E5" authorId="0" shapeId="0">
      <text>
        <t>Leave 'All severities' unless targets differ by severity - then add one row per severity.</t>
      </text>
    </comment>
    <comment ref="L5" authorId="0" shapeId="0">
      <text>
        <t>e.g. 75% sends a warning when three quarters of the time is used, before the breach.</t>
      </text>
    </comment>
    <comment ref="O5" authorId="0" shapeId="0">
      <text>
        <t>0 = at the moment of breach. 1 = one unit (e.g. one working day) after.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43815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024638"/>
    <outlinePr summaryBelow="1" summaryRight="1"/>
    <pageSetUpPr/>
  </sheetPr>
  <dimension ref="B1:C34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</cols>
  <sheetData>
    <row r="1" ht="44" customHeight="1">
      <c r="B1" s="1" t="inlineStr">
        <is>
          <t>Whistleblowing Reporting Portal - Requirements Template</t>
        </is>
      </c>
      <c r="C1" s="2" t="n"/>
    </row>
    <row r="2" ht="22" customHeight="1">
      <c r="B2" s="3" t="inlineStr">
        <is>
          <t>Service catalog, request forms, SLA and groups - to be completed by ERC</t>
        </is>
      </c>
      <c r="C2" s="2" t="n"/>
    </row>
    <row r="4">
      <c r="B4" s="4" t="inlineStr">
        <is>
          <t>How to fill in this workbook</t>
        </is>
      </c>
    </row>
    <row r="5">
      <c r="B5" s="5" t="inlineStr">
        <is>
          <t>Yellow cell</t>
        </is>
      </c>
      <c r="C5" s="6" t="inlineStr">
        <is>
          <t>For you to fill in.</t>
        </is>
      </c>
    </row>
    <row r="6">
      <c r="B6" s="7" t="inlineStr">
        <is>
          <t>Grey italic row</t>
        </is>
      </c>
      <c r="C6" s="6" t="inlineStr">
        <is>
          <t>An example of the expected format. Overwrite it or leave it.</t>
        </is>
      </c>
    </row>
    <row r="7">
      <c r="B7" s="8" t="inlineStr">
        <is>
          <t>Dropdown</t>
        </is>
      </c>
      <c r="C7" s="6" t="inlineStr">
        <is>
          <t>Click the cell and pick from the list. Lists can be extended on request.</t>
        </is>
      </c>
    </row>
    <row r="8">
      <c r="B8" s="8" t="inlineStr">
        <is>
          <t>Red note marker</t>
        </is>
      </c>
      <c r="C8" s="6" t="inlineStr">
        <is>
          <t>Hover over a column header with a red corner for guidance.</t>
        </is>
      </c>
    </row>
    <row r="10">
      <c r="B10" s="4" t="inlineStr">
        <is>
          <t>Sheets</t>
        </is>
      </c>
    </row>
    <row r="11">
      <c r="B11" s="8" t="inlineStr">
        <is>
          <t>Service Catalog</t>
        </is>
      </c>
      <c r="C11" s="6" t="inlineStr">
        <is>
          <t>One row per service on the portal: who can request it, who approves (up to 3 levels) and which team delivers it.</t>
        </is>
      </c>
    </row>
    <row r="12">
      <c r="B12" s="8" t="inlineStr">
        <is>
          <t>Request Form Fields</t>
        </is>
      </c>
      <c r="C12" s="6" t="inlineStr">
        <is>
          <t>One row per field on a service's request form: label (English and Arabic), type, required or not, dropdown options.</t>
        </is>
      </c>
    </row>
    <row r="13">
      <c r="B13" s="8" t="inlineStr">
        <is>
          <t>Other Requirements</t>
        </is>
      </c>
      <c r="C13" s="6" t="inlineStr">
        <is>
          <t>Anything that is not a service or a field: notifications, reports, access rules, data retention.</t>
        </is>
      </c>
    </row>
    <row r="14">
      <c r="B14" s="8" t="inlineStr">
        <is>
          <t>SLA</t>
        </is>
      </c>
      <c r="C14" s="6" t="inlineStr">
        <is>
          <t>One row per service level: what is measured, the target, and who is warned and escalated to (group + email) at each level.</t>
        </is>
      </c>
    </row>
    <row r="15">
      <c r="B15" s="8" t="inlineStr">
        <is>
          <t>Groups &amp; Contacts</t>
        </is>
      </c>
      <c r="C15" s="6" t="inlineStr">
        <is>
          <t>Who belongs to each group, their email, and whether they need a Jira licence.</t>
        </is>
      </c>
    </row>
    <row r="17">
      <c r="B17" s="4" t="inlineStr">
        <is>
          <t>Document details</t>
        </is>
      </c>
    </row>
    <row r="18">
      <c r="B18" s="8" t="inlineStr">
        <is>
          <t>Customer</t>
        </is>
      </c>
      <c r="C18" s="9" t="inlineStr">
        <is>
          <t>Expo 2030 Riyadh Company (ERC)</t>
        </is>
      </c>
    </row>
    <row r="19">
      <c r="B19" s="8" t="inlineStr">
        <is>
          <t>Service</t>
        </is>
      </c>
      <c r="C19" s="9" t="inlineStr">
        <is>
          <t>Whistleblowing Reporting Portal (Jira Service Management)</t>
        </is>
      </c>
    </row>
    <row r="20">
      <c r="B20" s="8" t="inlineStr">
        <is>
          <t>Template version</t>
        </is>
      </c>
      <c r="C20" s="9" t="inlineStr">
        <is>
          <t>1.2</t>
        </is>
      </c>
    </row>
    <row r="21">
      <c r="B21" s="8" t="inlineStr">
        <is>
          <t>Prepared by (Ejada)</t>
        </is>
      </c>
      <c r="C21" s="9" t="inlineStr">
        <is>
          <t>Doaa Mokhtar</t>
        </is>
      </c>
    </row>
    <row r="22">
      <c r="B22" s="8" t="inlineStr">
        <is>
          <t>Completed by (name, role)</t>
        </is>
      </c>
      <c r="C22" s="10" t="n"/>
    </row>
    <row r="23">
      <c r="B23" s="8" t="inlineStr">
        <is>
          <t>Date completed</t>
        </is>
      </c>
      <c r="C23" s="10" t="n"/>
    </row>
    <row r="24">
      <c r="B24" s="8" t="inlineStr">
        <is>
          <t>Approved by (name, role)</t>
        </is>
      </c>
      <c r="C24" s="10" t="n"/>
    </row>
    <row r="26">
      <c r="B26" s="4" t="inlineStr">
        <is>
          <t>Progress</t>
        </is>
      </c>
    </row>
    <row r="27">
      <c r="B27" s="8" t="inlineStr">
        <is>
          <t>Services entered</t>
        </is>
      </c>
      <c r="C27" s="11">
        <f>COUNTA('Service Catalog'!C7:C66)</f>
        <v/>
      </c>
    </row>
    <row r="28">
      <c r="B28" s="8" t="inlineStr">
        <is>
          <t>Form fields entered</t>
        </is>
      </c>
      <c r="C28" s="11">
        <f>COUNTA('Request Form Fields'!D7:D66)</f>
        <v/>
      </c>
    </row>
    <row r="29">
      <c r="B29" s="8" t="inlineStr">
        <is>
          <t>Other requirements entered</t>
        </is>
      </c>
      <c r="C29" s="11">
        <f>COUNTA('Other Requirements'!C7:C66)</f>
        <v/>
      </c>
    </row>
    <row r="30">
      <c r="B30" s="8" t="inlineStr">
        <is>
          <t>Other requirements approved</t>
        </is>
      </c>
      <c r="C30" s="11">
        <f>COUNTIF('Other Requirements'!K7:K66,"Approved")</f>
        <v/>
      </c>
    </row>
    <row r="31">
      <c r="B31" s="8" t="inlineStr">
        <is>
          <t>SLA rows entered</t>
        </is>
      </c>
      <c r="C31" s="11">
        <f>COUNTA(SLA!B7:B66)</f>
        <v/>
      </c>
    </row>
    <row r="32">
      <c r="B32" s="8" t="inlineStr">
        <is>
          <t>Group members entered</t>
        </is>
      </c>
      <c r="C32" s="11">
        <f>COUNTA('Groups &amp; Contacts'!C7:C66)</f>
        <v/>
      </c>
    </row>
    <row r="34">
      <c r="B34" s="12" t="inlineStr">
        <is>
          <t>Confidentiality: do not enter details of real reports in this workbook - only requirements and contacts.</t>
        </is>
      </c>
    </row>
  </sheetData>
  <mergeCells count="3">
    <mergeCell ref="B1:C1"/>
    <mergeCell ref="B2:C2"/>
    <mergeCell ref="B34:C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6B78E"/>
    <outlinePr summaryBelow="1" summaryRight="1"/>
    <pageSetUpPr/>
  </sheetPr>
  <dimension ref="A1:N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2" customWidth="1" min="4" max="4"/>
    <col width="26" customWidth="1" min="5" max="5"/>
    <col width="24" customWidth="1" min="6" max="6"/>
    <col width="24" customWidth="1" min="7" max="7"/>
    <col width="24" customWidth="1" min="8" max="8"/>
    <col width="28" customWidth="1" min="9" max="9"/>
    <col width="28" customWidth="1" min="10" max="10"/>
    <col width="30" customWidth="1" min="11" max="11"/>
    <col width="13" customWidth="1" min="12" max="12"/>
    <col width="12" customWidth="1" min="13" max="13"/>
    <col width="30" customWidth="1" min="14" max="14"/>
  </cols>
  <sheetData>
    <row r="1" ht="44" customHeight="1">
      <c r="B1" s="1" t="inlineStr">
        <is>
          <t>Service Catalog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B2" s="3" t="inlineStr">
        <is>
          <t>One row per service - each row becomes one request type on the portal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13" t="inlineStr">
        <is>
          <t>Repeat the category on every row (do not merge cells). Approvals and teams: pick from the list or type a group name. Grey columns fill in automatically.</t>
        </is>
      </c>
    </row>
    <row r="5" ht="48" customHeight="1">
      <c r="A5" s="14" t="inlineStr">
        <is>
          <t>Service ID</t>
        </is>
      </c>
      <c r="B5" s="14" t="inlineStr">
        <is>
          <t>Service Group / Category
فئة الخدمة</t>
        </is>
      </c>
      <c r="C5" s="14" t="inlineStr">
        <is>
          <t>Service Name
اسم الخدمة</t>
        </is>
      </c>
      <c r="D5" s="14" t="inlineStr">
        <is>
          <t>Service Description
وصف الخدمة</t>
        </is>
      </c>
      <c r="E5" s="14" t="inlineStr">
        <is>
          <t>Who can request?
من لديه صلاحية رفع الطلب؟</t>
        </is>
      </c>
      <c r="F5" s="14" t="inlineStr">
        <is>
          <t>Level 1 Approval
المستوى الأول للموافقة</t>
        </is>
      </c>
      <c r="G5" s="14" t="inlineStr">
        <is>
          <t>Level 2 Approval
المستوى الثاني للموافقة</t>
        </is>
      </c>
      <c r="H5" s="14" t="inlineStr">
        <is>
          <t>Level 3 Approval
المستوى الثالث للموافقة</t>
        </is>
      </c>
      <c r="I5" s="14" t="inlineStr">
        <is>
          <t>L1 Implementation Responsible Team
فريق التنفيذ - المستوى الأول</t>
        </is>
      </c>
      <c r="J5" s="14" t="inlineStr">
        <is>
          <t>L2 Implementation Responsible Team
فريق التنفيذ - المستوى الثاني</t>
        </is>
      </c>
      <c r="K5" s="14" t="inlineStr">
        <is>
          <t>Notes
ملاحظات</t>
        </is>
      </c>
      <c r="L5" s="14" t="inlineStr">
        <is>
          <t>Jira: approval steps</t>
        </is>
      </c>
      <c r="M5" s="14" t="inlineStr">
        <is>
          <t>Jira: form fields</t>
        </is>
      </c>
      <c r="N5" s="14" t="inlineStr">
        <is>
          <t>Ejada notes</t>
        </is>
      </c>
    </row>
    <row r="6">
      <c r="A6" s="15" t="inlineStr">
        <is>
          <t>SVC-01</t>
        </is>
      </c>
      <c r="B6" s="15" t="inlineStr">
        <is>
          <t>Whistleblowing</t>
        </is>
      </c>
      <c r="C6" s="15" t="inlineStr">
        <is>
          <t>Submit a report anonymously</t>
        </is>
      </c>
      <c r="D6" s="15" t="inlineStr">
        <is>
          <t>Anyone can report misconduct without signing in or giving their name.</t>
        </is>
      </c>
      <c r="E6" s="15" t="inlineStr">
        <is>
          <t>Anyone - no sign-in (anonymous)</t>
        </is>
      </c>
      <c r="F6" s="15" t="inlineStr">
        <is>
          <t>Specific group (name in Notes)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Investigation group by report category</t>
        </is>
      </c>
      <c r="J6" s="15" t="inlineStr">
        <is>
          <t>Employee Relations</t>
        </is>
      </c>
      <c r="K6" s="15" t="inlineStr">
        <is>
          <t>L1 approval: GRC-Compliance. L2 team: Retaliation reports only.</t>
        </is>
      </c>
      <c r="L6" s="16">
        <f>IF(C6="","",SUMPRODUCT((TRIM(F6:H6)&lt;&gt;"")*(TRIM(F6:H6)&lt;&gt;"None")*(TRIM(F6:H6)&lt;&gt;"-")))</f>
        <v/>
      </c>
      <c r="M6" s="16">
        <f>IF(C6="","",COUNTIF('Request Form Fields'!$B$6:$B$66,C6))</f>
        <v/>
      </c>
      <c r="N6" s="15" t="inlineStr">
        <is>
          <t>Request type: Submit a report.</t>
        </is>
      </c>
    </row>
    <row r="7">
      <c r="A7" s="17">
        <f>IF(C7="","","SVC-"&amp;TEXT(ROW()-5,"00"))</f>
        <v/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9">
        <f>IF(C7="","",SUMPRODUCT((TRIM(F7:H7)&lt;&gt;"")*(TRIM(F7:H7)&lt;&gt;"None")*(TRIM(F7:H7)&lt;&gt;"-")))</f>
        <v/>
      </c>
      <c r="M7" s="19">
        <f>IF(C7="","",COUNTIF('Request Form Fields'!$B$6:$B$66,C7))</f>
        <v/>
      </c>
      <c r="N7" s="18" t="n"/>
    </row>
    <row r="8">
      <c r="A8" s="17">
        <f>IF(C8="","","SVC-"&amp;TEXT(ROW()-5,"00"))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9">
        <f>IF(C8="","",SUMPRODUCT((TRIM(F8:H8)&lt;&gt;"")*(TRIM(F8:H8)&lt;&gt;"None")*(TRIM(F8:H8)&lt;&gt;"-")))</f>
        <v/>
      </c>
      <c r="M8" s="19">
        <f>IF(C8="","",COUNTIF('Request Form Fields'!$B$6:$B$66,C8))</f>
        <v/>
      </c>
      <c r="N8" s="18" t="n"/>
    </row>
    <row r="9">
      <c r="A9" s="17">
        <f>IF(C9="","","SVC-"&amp;TEXT(ROW()-5,"00"))</f>
        <v/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9">
        <f>IF(C9="","",SUMPRODUCT((TRIM(F9:H9)&lt;&gt;"")*(TRIM(F9:H9)&lt;&gt;"None")*(TRIM(F9:H9)&lt;&gt;"-")))</f>
        <v/>
      </c>
      <c r="M9" s="19">
        <f>IF(C9="","",COUNTIF('Request Form Fields'!$B$6:$B$66,C9))</f>
        <v/>
      </c>
      <c r="N9" s="18" t="n"/>
    </row>
    <row r="10">
      <c r="A10" s="17">
        <f>IF(C10="","","SVC-"&amp;TEXT(ROW()-5,"00"))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9">
        <f>IF(C10="","",SUMPRODUCT((TRIM(F10:H10)&lt;&gt;"")*(TRIM(F10:H10)&lt;&gt;"None")*(TRIM(F10:H10)&lt;&gt;"-")))</f>
        <v/>
      </c>
      <c r="M10" s="19">
        <f>IF(C10="","",COUNTIF('Request Form Fields'!$B$6:$B$66,C10))</f>
        <v/>
      </c>
      <c r="N10" s="18" t="n"/>
    </row>
    <row r="11">
      <c r="A11" s="17">
        <f>IF(C11="","","SVC-"&amp;TEXT(ROW()-5,"00"))</f>
        <v/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9">
        <f>IF(C11="","",SUMPRODUCT((TRIM(F11:H11)&lt;&gt;"")*(TRIM(F11:H11)&lt;&gt;"None")*(TRIM(F11:H11)&lt;&gt;"-")))</f>
        <v/>
      </c>
      <c r="M11" s="19">
        <f>IF(C11="","",COUNTIF('Request Form Fields'!$B$6:$B$66,C11))</f>
        <v/>
      </c>
      <c r="N11" s="18" t="n"/>
    </row>
    <row r="12">
      <c r="A12" s="17">
        <f>IF(C12="","","SVC-"&amp;TEXT(ROW()-5,"00"))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9">
        <f>IF(C12="","",SUMPRODUCT((TRIM(F12:H12)&lt;&gt;"")*(TRIM(F12:H12)&lt;&gt;"None")*(TRIM(F12:H12)&lt;&gt;"-")))</f>
        <v/>
      </c>
      <c r="M12" s="19">
        <f>IF(C12="","",COUNTIF('Request Form Fields'!$B$6:$B$66,C12))</f>
        <v/>
      </c>
      <c r="N12" s="18" t="n"/>
    </row>
    <row r="13">
      <c r="A13" s="17">
        <f>IF(C13="","","SVC-"&amp;TEXT(ROW()-5,"00"))</f>
        <v/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9">
        <f>IF(C13="","",SUMPRODUCT((TRIM(F13:H13)&lt;&gt;"")*(TRIM(F13:H13)&lt;&gt;"None")*(TRIM(F13:H13)&lt;&gt;"-")))</f>
        <v/>
      </c>
      <c r="M13" s="19">
        <f>IF(C13="","",COUNTIF('Request Form Fields'!$B$6:$B$66,C13))</f>
        <v/>
      </c>
      <c r="N13" s="18" t="n"/>
    </row>
    <row r="14">
      <c r="A14" s="17">
        <f>IF(C14="","","SVC-"&amp;TEXT(ROW()-5,"00"))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9">
        <f>IF(C14="","",SUMPRODUCT((TRIM(F14:H14)&lt;&gt;"")*(TRIM(F14:H14)&lt;&gt;"None")*(TRIM(F14:H14)&lt;&gt;"-")))</f>
        <v/>
      </c>
      <c r="M14" s="19">
        <f>IF(C14="","",COUNTIF('Request Form Fields'!$B$6:$B$66,C14))</f>
        <v/>
      </c>
      <c r="N14" s="18" t="n"/>
    </row>
    <row r="15">
      <c r="A15" s="17">
        <f>IF(C15="","","SVC-"&amp;TEXT(ROW()-5,"00"))</f>
        <v/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>
        <f>IF(C15="","",SUMPRODUCT((TRIM(F15:H15)&lt;&gt;"")*(TRIM(F15:H15)&lt;&gt;"None")*(TRIM(F15:H15)&lt;&gt;"-")))</f>
        <v/>
      </c>
      <c r="M15" s="19">
        <f>IF(C15="","",COUNTIF('Request Form Fields'!$B$6:$B$66,C15))</f>
        <v/>
      </c>
      <c r="N15" s="18" t="n"/>
    </row>
    <row r="16">
      <c r="A16" s="17">
        <f>IF(C16="","","SVC-"&amp;TEXT(ROW()-5,"00"))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9">
        <f>IF(C16="","",SUMPRODUCT((TRIM(F16:H16)&lt;&gt;"")*(TRIM(F16:H16)&lt;&gt;"None")*(TRIM(F16:H16)&lt;&gt;"-")))</f>
        <v/>
      </c>
      <c r="M16" s="19">
        <f>IF(C16="","",COUNTIF('Request Form Fields'!$B$6:$B$66,C16))</f>
        <v/>
      </c>
      <c r="N16" s="18" t="n"/>
    </row>
    <row r="17">
      <c r="A17" s="17">
        <f>IF(C17="","","SVC-"&amp;TEXT(ROW()-5,"00"))</f>
        <v/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9">
        <f>IF(C17="","",SUMPRODUCT((TRIM(F17:H17)&lt;&gt;"")*(TRIM(F17:H17)&lt;&gt;"None")*(TRIM(F17:H17)&lt;&gt;"-")))</f>
        <v/>
      </c>
      <c r="M17" s="19">
        <f>IF(C17="","",COUNTIF('Request Form Fields'!$B$6:$B$66,C17))</f>
        <v/>
      </c>
      <c r="N17" s="18" t="n"/>
    </row>
    <row r="18">
      <c r="A18" s="17">
        <f>IF(C18="","","SVC-"&amp;TEXT(ROW()-5,"00"))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9">
        <f>IF(C18="","",SUMPRODUCT((TRIM(F18:H18)&lt;&gt;"")*(TRIM(F18:H18)&lt;&gt;"None")*(TRIM(F18:H18)&lt;&gt;"-")))</f>
        <v/>
      </c>
      <c r="M18" s="19">
        <f>IF(C18="","",COUNTIF('Request Form Fields'!$B$6:$B$66,C18))</f>
        <v/>
      </c>
      <c r="N18" s="18" t="n"/>
    </row>
    <row r="19">
      <c r="A19" s="17">
        <f>IF(C19="","","SVC-"&amp;TEXT(ROW()-5,"00"))</f>
        <v/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>
        <f>IF(C19="","",SUMPRODUCT((TRIM(F19:H19)&lt;&gt;"")*(TRIM(F19:H19)&lt;&gt;"None")*(TRIM(F19:H19)&lt;&gt;"-")))</f>
        <v/>
      </c>
      <c r="M19" s="19">
        <f>IF(C19="","",COUNTIF('Request Form Fields'!$B$6:$B$66,C19))</f>
        <v/>
      </c>
      <c r="N19" s="18" t="n"/>
    </row>
    <row r="20">
      <c r="A20" s="17">
        <f>IF(C20="","","SVC-"&amp;TEXT(ROW()-5,"00"))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>
        <f>IF(C20="","",SUMPRODUCT((TRIM(F20:H20)&lt;&gt;"")*(TRIM(F20:H20)&lt;&gt;"None")*(TRIM(F20:H20)&lt;&gt;"-")))</f>
        <v/>
      </c>
      <c r="M20" s="19">
        <f>IF(C20="","",COUNTIF('Request Form Fields'!$B$6:$B$66,C20))</f>
        <v/>
      </c>
      <c r="N20" s="18" t="n"/>
    </row>
    <row r="21">
      <c r="A21" s="17">
        <f>IF(C21="","","SVC-"&amp;TEXT(ROW()-5,"00"))</f>
        <v/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9">
        <f>IF(C21="","",SUMPRODUCT((TRIM(F21:H21)&lt;&gt;"")*(TRIM(F21:H21)&lt;&gt;"None")*(TRIM(F21:H21)&lt;&gt;"-")))</f>
        <v/>
      </c>
      <c r="M21" s="19">
        <f>IF(C21="","",COUNTIF('Request Form Fields'!$B$6:$B$66,C21))</f>
        <v/>
      </c>
      <c r="N21" s="18" t="n"/>
    </row>
    <row r="22">
      <c r="A22" s="17">
        <f>IF(C22="","","SVC-"&amp;TEXT(ROW()-5,"00"))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>
        <f>IF(C22="","",SUMPRODUCT((TRIM(F22:H22)&lt;&gt;"")*(TRIM(F22:H22)&lt;&gt;"None")*(TRIM(F22:H22)&lt;&gt;"-")))</f>
        <v/>
      </c>
      <c r="M22" s="19">
        <f>IF(C22="","",COUNTIF('Request Form Fields'!$B$6:$B$66,C22))</f>
        <v/>
      </c>
      <c r="N22" s="18" t="n"/>
    </row>
    <row r="23">
      <c r="A23" s="17">
        <f>IF(C23="","","SVC-"&amp;TEXT(ROW()-5,"00"))</f>
        <v/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9">
        <f>IF(C23="","",SUMPRODUCT((TRIM(F23:H23)&lt;&gt;"")*(TRIM(F23:H23)&lt;&gt;"None")*(TRIM(F23:H23)&lt;&gt;"-")))</f>
        <v/>
      </c>
      <c r="M23" s="19">
        <f>IF(C23="","",COUNTIF('Request Form Fields'!$B$6:$B$66,C23))</f>
        <v/>
      </c>
      <c r="N23" s="18" t="n"/>
    </row>
    <row r="24">
      <c r="A24" s="17">
        <f>IF(C24="","","SVC-"&amp;TEXT(ROW()-5,"00"))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>
        <f>IF(C24="","",SUMPRODUCT((TRIM(F24:H24)&lt;&gt;"")*(TRIM(F24:H24)&lt;&gt;"None")*(TRIM(F24:H24)&lt;&gt;"-")))</f>
        <v/>
      </c>
      <c r="M24" s="19">
        <f>IF(C24="","",COUNTIF('Request Form Fields'!$B$6:$B$66,C24))</f>
        <v/>
      </c>
      <c r="N24" s="18" t="n"/>
    </row>
    <row r="25">
      <c r="A25" s="17">
        <f>IF(C25="","","SVC-"&amp;TEXT(ROW()-5,"00"))</f>
        <v/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9">
        <f>IF(C25="","",SUMPRODUCT((TRIM(F25:H25)&lt;&gt;"")*(TRIM(F25:H25)&lt;&gt;"None")*(TRIM(F25:H25)&lt;&gt;"-")))</f>
        <v/>
      </c>
      <c r="M25" s="19">
        <f>IF(C25="","",COUNTIF('Request Form Fields'!$B$6:$B$66,C25))</f>
        <v/>
      </c>
      <c r="N25" s="18" t="n"/>
    </row>
    <row r="26">
      <c r="A26" s="17">
        <f>IF(C26="","","SVC-"&amp;TEXT(ROW()-5,"00"))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>
        <f>IF(C26="","",SUMPRODUCT((TRIM(F26:H26)&lt;&gt;"")*(TRIM(F26:H26)&lt;&gt;"None")*(TRIM(F26:H26)&lt;&gt;"-")))</f>
        <v/>
      </c>
      <c r="M26" s="19">
        <f>IF(C26="","",COUNTIF('Request Form Fields'!$B$6:$B$66,C26))</f>
        <v/>
      </c>
      <c r="N26" s="18" t="n"/>
    </row>
    <row r="27">
      <c r="A27" s="17">
        <f>IF(C27="","","SVC-"&amp;TEXT(ROW()-5,"00"))</f>
        <v/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9">
        <f>IF(C27="","",SUMPRODUCT((TRIM(F27:H27)&lt;&gt;"")*(TRIM(F27:H27)&lt;&gt;"None")*(TRIM(F27:H27)&lt;&gt;"-")))</f>
        <v/>
      </c>
      <c r="M27" s="19">
        <f>IF(C27="","",COUNTIF('Request Form Fields'!$B$6:$B$66,C27))</f>
        <v/>
      </c>
      <c r="N27" s="18" t="n"/>
    </row>
    <row r="28">
      <c r="A28" s="17">
        <f>IF(C28="","","SVC-"&amp;TEXT(ROW()-5,"00"))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9">
        <f>IF(C28="","",SUMPRODUCT((TRIM(F28:H28)&lt;&gt;"")*(TRIM(F28:H28)&lt;&gt;"None")*(TRIM(F28:H28)&lt;&gt;"-")))</f>
        <v/>
      </c>
      <c r="M28" s="19">
        <f>IF(C28="","",COUNTIF('Request Form Fields'!$B$6:$B$66,C28))</f>
        <v/>
      </c>
      <c r="N28" s="18" t="n"/>
    </row>
    <row r="29">
      <c r="A29" s="17">
        <f>IF(C29="","","SVC-"&amp;TEXT(ROW()-5,"00"))</f>
        <v/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9">
        <f>IF(C29="","",SUMPRODUCT((TRIM(F29:H29)&lt;&gt;"")*(TRIM(F29:H29)&lt;&gt;"None")*(TRIM(F29:H29)&lt;&gt;"-")))</f>
        <v/>
      </c>
      <c r="M29" s="19">
        <f>IF(C29="","",COUNTIF('Request Form Fields'!$B$6:$B$66,C29))</f>
        <v/>
      </c>
      <c r="N29" s="18" t="n"/>
    </row>
    <row r="30">
      <c r="A30" s="17">
        <f>IF(C30="","","SVC-"&amp;TEXT(ROW()-5,"00"))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9">
        <f>IF(C30="","",SUMPRODUCT((TRIM(F30:H30)&lt;&gt;"")*(TRIM(F30:H30)&lt;&gt;"None")*(TRIM(F30:H30)&lt;&gt;"-")))</f>
        <v/>
      </c>
      <c r="M30" s="19">
        <f>IF(C30="","",COUNTIF('Request Form Fields'!$B$6:$B$66,C30))</f>
        <v/>
      </c>
      <c r="N30" s="18" t="n"/>
    </row>
    <row r="31">
      <c r="A31" s="17">
        <f>IF(C31="","","SVC-"&amp;TEXT(ROW()-5,"00"))</f>
        <v/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9">
        <f>IF(C31="","",SUMPRODUCT((TRIM(F31:H31)&lt;&gt;"")*(TRIM(F31:H31)&lt;&gt;"None")*(TRIM(F31:H31)&lt;&gt;"-")))</f>
        <v/>
      </c>
      <c r="M31" s="19">
        <f>IF(C31="","",COUNTIF('Request Form Fields'!$B$6:$B$66,C31))</f>
        <v/>
      </c>
      <c r="N31" s="18" t="n"/>
    </row>
    <row r="32">
      <c r="A32" s="17">
        <f>IF(C32="","","SVC-"&amp;TEXT(ROW()-5,"00"))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9">
        <f>IF(C32="","",SUMPRODUCT((TRIM(F32:H32)&lt;&gt;"")*(TRIM(F32:H32)&lt;&gt;"None")*(TRIM(F32:H32)&lt;&gt;"-")))</f>
        <v/>
      </c>
      <c r="M32" s="19">
        <f>IF(C32="","",COUNTIF('Request Form Fields'!$B$6:$B$66,C32))</f>
        <v/>
      </c>
      <c r="N32" s="18" t="n"/>
    </row>
    <row r="33">
      <c r="A33" s="17">
        <f>IF(C33="","","SVC-"&amp;TEXT(ROW()-5,"00"))</f>
        <v/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9">
        <f>IF(C33="","",SUMPRODUCT((TRIM(F33:H33)&lt;&gt;"")*(TRIM(F33:H33)&lt;&gt;"None")*(TRIM(F33:H33)&lt;&gt;"-")))</f>
        <v/>
      </c>
      <c r="M33" s="19">
        <f>IF(C33="","",COUNTIF('Request Form Fields'!$B$6:$B$66,C33))</f>
        <v/>
      </c>
      <c r="N33" s="18" t="n"/>
    </row>
    <row r="34">
      <c r="A34" s="17">
        <f>IF(C34="","","SVC-"&amp;TEXT(ROW()-5,"00"))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9">
        <f>IF(C34="","",SUMPRODUCT((TRIM(F34:H34)&lt;&gt;"")*(TRIM(F34:H34)&lt;&gt;"None")*(TRIM(F34:H34)&lt;&gt;"-")))</f>
        <v/>
      </c>
      <c r="M34" s="19">
        <f>IF(C34="","",COUNTIF('Request Form Fields'!$B$6:$B$66,C34))</f>
        <v/>
      </c>
      <c r="N34" s="18" t="n"/>
    </row>
    <row r="35">
      <c r="A35" s="17">
        <f>IF(C35="","","SVC-"&amp;TEXT(ROW()-5,"00"))</f>
        <v/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9">
        <f>IF(C35="","",SUMPRODUCT((TRIM(F35:H35)&lt;&gt;"")*(TRIM(F35:H35)&lt;&gt;"None")*(TRIM(F35:H35)&lt;&gt;"-")))</f>
        <v/>
      </c>
      <c r="M35" s="19">
        <f>IF(C35="","",COUNTIF('Request Form Fields'!$B$6:$B$66,C35))</f>
        <v/>
      </c>
      <c r="N35" s="18" t="n"/>
    </row>
    <row r="36">
      <c r="A36" s="17">
        <f>IF(C36="","","SVC-"&amp;TEXT(ROW()-5,"00"))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9">
        <f>IF(C36="","",SUMPRODUCT((TRIM(F36:H36)&lt;&gt;"")*(TRIM(F36:H36)&lt;&gt;"None")*(TRIM(F36:H36)&lt;&gt;"-")))</f>
        <v/>
      </c>
      <c r="M36" s="19">
        <f>IF(C36="","",COUNTIF('Request Form Fields'!$B$6:$B$66,C36))</f>
        <v/>
      </c>
      <c r="N36" s="18" t="n"/>
    </row>
    <row r="37">
      <c r="A37" s="17">
        <f>IF(C37="","","SVC-"&amp;TEXT(ROW()-5,"00"))</f>
        <v/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9">
        <f>IF(C37="","",SUMPRODUCT((TRIM(F37:H37)&lt;&gt;"")*(TRIM(F37:H37)&lt;&gt;"None")*(TRIM(F37:H37)&lt;&gt;"-")))</f>
        <v/>
      </c>
      <c r="M37" s="19">
        <f>IF(C37="","",COUNTIF('Request Form Fields'!$B$6:$B$66,C37))</f>
        <v/>
      </c>
      <c r="N37" s="18" t="n"/>
    </row>
    <row r="38">
      <c r="A38" s="17">
        <f>IF(C38="","","SVC-"&amp;TEXT(ROW()-5,"00"))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9">
        <f>IF(C38="","",SUMPRODUCT((TRIM(F38:H38)&lt;&gt;"")*(TRIM(F38:H38)&lt;&gt;"None")*(TRIM(F38:H38)&lt;&gt;"-")))</f>
        <v/>
      </c>
      <c r="M38" s="19">
        <f>IF(C38="","",COUNTIF('Request Form Fields'!$B$6:$B$66,C38))</f>
        <v/>
      </c>
      <c r="N38" s="18" t="n"/>
    </row>
    <row r="39">
      <c r="A39" s="17">
        <f>IF(C39="","","SVC-"&amp;TEXT(ROW()-5,"00"))</f>
        <v/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9">
        <f>IF(C39="","",SUMPRODUCT((TRIM(F39:H39)&lt;&gt;"")*(TRIM(F39:H39)&lt;&gt;"None")*(TRIM(F39:H39)&lt;&gt;"-")))</f>
        <v/>
      </c>
      <c r="M39" s="19">
        <f>IF(C39="","",COUNTIF('Request Form Fields'!$B$6:$B$66,C39))</f>
        <v/>
      </c>
      <c r="N39" s="18" t="n"/>
    </row>
    <row r="40">
      <c r="A40" s="17">
        <f>IF(C40="","","SVC-"&amp;TEXT(ROW()-5,"00"))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9">
        <f>IF(C40="","",SUMPRODUCT((TRIM(F40:H40)&lt;&gt;"")*(TRIM(F40:H40)&lt;&gt;"None")*(TRIM(F40:H40)&lt;&gt;"-")))</f>
        <v/>
      </c>
      <c r="M40" s="19">
        <f>IF(C40="","",COUNTIF('Request Form Fields'!$B$6:$B$66,C40))</f>
        <v/>
      </c>
      <c r="N40" s="18" t="n"/>
    </row>
    <row r="41">
      <c r="A41" s="17">
        <f>IF(C41="","","SVC-"&amp;TEXT(ROW()-5,"00"))</f>
        <v/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9">
        <f>IF(C41="","",SUMPRODUCT((TRIM(F41:H41)&lt;&gt;"")*(TRIM(F41:H41)&lt;&gt;"None")*(TRIM(F41:H41)&lt;&gt;"-")))</f>
        <v/>
      </c>
      <c r="M41" s="19">
        <f>IF(C41="","",COUNTIF('Request Form Fields'!$B$6:$B$66,C41))</f>
        <v/>
      </c>
      <c r="N41" s="18" t="n"/>
    </row>
    <row r="42">
      <c r="A42" s="17">
        <f>IF(C42="","","SVC-"&amp;TEXT(ROW()-5,"00"))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9">
        <f>IF(C42="","",SUMPRODUCT((TRIM(F42:H42)&lt;&gt;"")*(TRIM(F42:H42)&lt;&gt;"None")*(TRIM(F42:H42)&lt;&gt;"-")))</f>
        <v/>
      </c>
      <c r="M42" s="19">
        <f>IF(C42="","",COUNTIF('Request Form Fields'!$B$6:$B$66,C42))</f>
        <v/>
      </c>
      <c r="N42" s="18" t="n"/>
    </row>
    <row r="43">
      <c r="A43" s="17">
        <f>IF(C43="","","SVC-"&amp;TEXT(ROW()-5,"00"))</f>
        <v/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9">
        <f>IF(C43="","",SUMPRODUCT((TRIM(F43:H43)&lt;&gt;"")*(TRIM(F43:H43)&lt;&gt;"None")*(TRIM(F43:H43)&lt;&gt;"-")))</f>
        <v/>
      </c>
      <c r="M43" s="19">
        <f>IF(C43="","",COUNTIF('Request Form Fields'!$B$6:$B$66,C43))</f>
        <v/>
      </c>
      <c r="N43" s="18" t="n"/>
    </row>
    <row r="44">
      <c r="A44" s="17">
        <f>IF(C44="","","SVC-"&amp;TEXT(ROW()-5,"00"))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9">
        <f>IF(C44="","",SUMPRODUCT((TRIM(F44:H44)&lt;&gt;"")*(TRIM(F44:H44)&lt;&gt;"None")*(TRIM(F44:H44)&lt;&gt;"-")))</f>
        <v/>
      </c>
      <c r="M44" s="19">
        <f>IF(C44="","",COUNTIF('Request Form Fields'!$B$6:$B$66,C44))</f>
        <v/>
      </c>
      <c r="N44" s="18" t="n"/>
    </row>
    <row r="45">
      <c r="A45" s="17">
        <f>IF(C45="","","SVC-"&amp;TEXT(ROW()-5,"00"))</f>
        <v/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9">
        <f>IF(C45="","",SUMPRODUCT((TRIM(F45:H45)&lt;&gt;"")*(TRIM(F45:H45)&lt;&gt;"None")*(TRIM(F45:H45)&lt;&gt;"-")))</f>
        <v/>
      </c>
      <c r="M45" s="19">
        <f>IF(C45="","",COUNTIF('Request Form Fields'!$B$6:$B$66,C45))</f>
        <v/>
      </c>
      <c r="N45" s="18" t="n"/>
    </row>
    <row r="46">
      <c r="A46" s="17">
        <f>IF(C46="","","SVC-"&amp;TEXT(ROW()-5,"00"))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9">
        <f>IF(C46="","",SUMPRODUCT((TRIM(F46:H46)&lt;&gt;"")*(TRIM(F46:H46)&lt;&gt;"None")*(TRIM(F46:H46)&lt;&gt;"-")))</f>
        <v/>
      </c>
      <c r="M46" s="19">
        <f>IF(C46="","",COUNTIF('Request Form Fields'!$B$6:$B$66,C46))</f>
        <v/>
      </c>
      <c r="N46" s="18" t="n"/>
    </row>
    <row r="47">
      <c r="A47" s="17">
        <f>IF(C47="","","SVC-"&amp;TEXT(ROW()-5,"00"))</f>
        <v/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9">
        <f>IF(C47="","",SUMPRODUCT((TRIM(F47:H47)&lt;&gt;"")*(TRIM(F47:H47)&lt;&gt;"None")*(TRIM(F47:H47)&lt;&gt;"-")))</f>
        <v/>
      </c>
      <c r="M47" s="19">
        <f>IF(C47="","",COUNTIF('Request Form Fields'!$B$6:$B$66,C47))</f>
        <v/>
      </c>
      <c r="N47" s="18" t="n"/>
    </row>
    <row r="48">
      <c r="A48" s="17">
        <f>IF(C48="","","SVC-"&amp;TEXT(ROW()-5,"00"))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9">
        <f>IF(C48="","",SUMPRODUCT((TRIM(F48:H48)&lt;&gt;"")*(TRIM(F48:H48)&lt;&gt;"None")*(TRIM(F48:H48)&lt;&gt;"-")))</f>
        <v/>
      </c>
      <c r="M48" s="19">
        <f>IF(C48="","",COUNTIF('Request Form Fields'!$B$6:$B$66,C48))</f>
        <v/>
      </c>
      <c r="N48" s="18" t="n"/>
    </row>
    <row r="49">
      <c r="A49" s="17">
        <f>IF(C49="","","SVC-"&amp;TEXT(ROW()-5,"00"))</f>
        <v/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9">
        <f>IF(C49="","",SUMPRODUCT((TRIM(F49:H49)&lt;&gt;"")*(TRIM(F49:H49)&lt;&gt;"None")*(TRIM(F49:H49)&lt;&gt;"-")))</f>
        <v/>
      </c>
      <c r="M49" s="19">
        <f>IF(C49="","",COUNTIF('Request Form Fields'!$B$6:$B$66,C49))</f>
        <v/>
      </c>
      <c r="N49" s="18" t="n"/>
    </row>
    <row r="50">
      <c r="A50" s="17">
        <f>IF(C50="","","SVC-"&amp;TEXT(ROW()-5,"00"))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9">
        <f>IF(C50="","",SUMPRODUCT((TRIM(F50:H50)&lt;&gt;"")*(TRIM(F50:H50)&lt;&gt;"None")*(TRIM(F50:H50)&lt;&gt;"-")))</f>
        <v/>
      </c>
      <c r="M50" s="19">
        <f>IF(C50="","",COUNTIF('Request Form Fields'!$B$6:$B$66,C50))</f>
        <v/>
      </c>
      <c r="N50" s="18" t="n"/>
    </row>
    <row r="51">
      <c r="A51" s="17">
        <f>IF(C51="","","SVC-"&amp;TEXT(ROW()-5,"00"))</f>
        <v/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9">
        <f>IF(C51="","",SUMPRODUCT((TRIM(F51:H51)&lt;&gt;"")*(TRIM(F51:H51)&lt;&gt;"None")*(TRIM(F51:H51)&lt;&gt;"-")))</f>
        <v/>
      </c>
      <c r="M51" s="19">
        <f>IF(C51="","",COUNTIF('Request Form Fields'!$B$6:$B$66,C51))</f>
        <v/>
      </c>
      <c r="N51" s="18" t="n"/>
    </row>
    <row r="52">
      <c r="A52" s="17">
        <f>IF(C52="","","SVC-"&amp;TEXT(ROW()-5,"00"))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9">
        <f>IF(C52="","",SUMPRODUCT((TRIM(F52:H52)&lt;&gt;"")*(TRIM(F52:H52)&lt;&gt;"None")*(TRIM(F52:H52)&lt;&gt;"-")))</f>
        <v/>
      </c>
      <c r="M52" s="19">
        <f>IF(C52="","",COUNTIF('Request Form Fields'!$B$6:$B$66,C52))</f>
        <v/>
      </c>
      <c r="N52" s="18" t="n"/>
    </row>
    <row r="53">
      <c r="A53" s="17">
        <f>IF(C53="","","SVC-"&amp;TEXT(ROW()-5,"00"))</f>
        <v/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9">
        <f>IF(C53="","",SUMPRODUCT((TRIM(F53:H53)&lt;&gt;"")*(TRIM(F53:H53)&lt;&gt;"None")*(TRIM(F53:H53)&lt;&gt;"-")))</f>
        <v/>
      </c>
      <c r="M53" s="19">
        <f>IF(C53="","",COUNTIF('Request Form Fields'!$B$6:$B$66,C53))</f>
        <v/>
      </c>
      <c r="N53" s="18" t="n"/>
    </row>
    <row r="54">
      <c r="A54" s="17">
        <f>IF(C54="","","SVC-"&amp;TEXT(ROW()-5,"00"))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9">
        <f>IF(C54="","",SUMPRODUCT((TRIM(F54:H54)&lt;&gt;"")*(TRIM(F54:H54)&lt;&gt;"None")*(TRIM(F54:H54)&lt;&gt;"-")))</f>
        <v/>
      </c>
      <c r="M54" s="19">
        <f>IF(C54="","",COUNTIF('Request Form Fields'!$B$6:$B$66,C54))</f>
        <v/>
      </c>
      <c r="N54" s="18" t="n"/>
    </row>
    <row r="55">
      <c r="A55" s="17">
        <f>IF(C55="","","SVC-"&amp;TEXT(ROW()-5,"00"))</f>
        <v/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9">
        <f>IF(C55="","",SUMPRODUCT((TRIM(F55:H55)&lt;&gt;"")*(TRIM(F55:H55)&lt;&gt;"None")*(TRIM(F55:H55)&lt;&gt;"-")))</f>
        <v/>
      </c>
      <c r="M55" s="19">
        <f>IF(C55="","",COUNTIF('Request Form Fields'!$B$6:$B$66,C55))</f>
        <v/>
      </c>
      <c r="N55" s="18" t="n"/>
    </row>
    <row r="56">
      <c r="A56" s="17">
        <f>IF(C56="","","SVC-"&amp;TEXT(ROW()-5,"00"))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9">
        <f>IF(C56="","",SUMPRODUCT((TRIM(F56:H56)&lt;&gt;"")*(TRIM(F56:H56)&lt;&gt;"None")*(TRIM(F56:H56)&lt;&gt;"-")))</f>
        <v/>
      </c>
      <c r="M56" s="19">
        <f>IF(C56="","",COUNTIF('Request Form Fields'!$B$6:$B$66,C56))</f>
        <v/>
      </c>
      <c r="N56" s="18" t="n"/>
    </row>
    <row r="57">
      <c r="A57" s="17">
        <f>IF(C57="","","SVC-"&amp;TEXT(ROW()-5,"00"))</f>
        <v/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9">
        <f>IF(C57="","",SUMPRODUCT((TRIM(F57:H57)&lt;&gt;"")*(TRIM(F57:H57)&lt;&gt;"None")*(TRIM(F57:H57)&lt;&gt;"-")))</f>
        <v/>
      </c>
      <c r="M57" s="19">
        <f>IF(C57="","",COUNTIF('Request Form Fields'!$B$6:$B$66,C57))</f>
        <v/>
      </c>
      <c r="N57" s="18" t="n"/>
    </row>
    <row r="58">
      <c r="A58" s="17">
        <f>IF(C58="","","SVC-"&amp;TEXT(ROW()-5,"00"))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9">
        <f>IF(C58="","",SUMPRODUCT((TRIM(F58:H58)&lt;&gt;"")*(TRIM(F58:H58)&lt;&gt;"None")*(TRIM(F58:H58)&lt;&gt;"-")))</f>
        <v/>
      </c>
      <c r="M58" s="19">
        <f>IF(C58="","",COUNTIF('Request Form Fields'!$B$6:$B$66,C58))</f>
        <v/>
      </c>
      <c r="N58" s="18" t="n"/>
    </row>
    <row r="59">
      <c r="A59" s="17">
        <f>IF(C59="","","SVC-"&amp;TEXT(ROW()-5,"00"))</f>
        <v/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9">
        <f>IF(C59="","",SUMPRODUCT((TRIM(F59:H59)&lt;&gt;"")*(TRIM(F59:H59)&lt;&gt;"None")*(TRIM(F59:H59)&lt;&gt;"-")))</f>
        <v/>
      </c>
      <c r="M59" s="19">
        <f>IF(C59="","",COUNTIF('Request Form Fields'!$B$6:$B$66,C59))</f>
        <v/>
      </c>
      <c r="N59" s="18" t="n"/>
    </row>
    <row r="60">
      <c r="A60" s="17">
        <f>IF(C60="","","SVC-"&amp;TEXT(ROW()-5,"00"))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9">
        <f>IF(C60="","",SUMPRODUCT((TRIM(F60:H60)&lt;&gt;"")*(TRIM(F60:H60)&lt;&gt;"None")*(TRIM(F60:H60)&lt;&gt;"-")))</f>
        <v/>
      </c>
      <c r="M60" s="19">
        <f>IF(C60="","",COUNTIF('Request Form Fields'!$B$6:$B$66,C60))</f>
        <v/>
      </c>
      <c r="N60" s="18" t="n"/>
    </row>
    <row r="61">
      <c r="A61" s="17">
        <f>IF(C61="","","SVC-"&amp;TEXT(ROW()-5,"00"))</f>
        <v/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9">
        <f>IF(C61="","",SUMPRODUCT((TRIM(F61:H61)&lt;&gt;"")*(TRIM(F61:H61)&lt;&gt;"None")*(TRIM(F61:H61)&lt;&gt;"-")))</f>
        <v/>
      </c>
      <c r="M61" s="19">
        <f>IF(C61="","",COUNTIF('Request Form Fields'!$B$6:$B$66,C61))</f>
        <v/>
      </c>
      <c r="N61" s="18" t="n"/>
    </row>
    <row r="62">
      <c r="A62" s="17">
        <f>IF(C62="","","SVC-"&amp;TEXT(ROW()-5,"00"))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9">
        <f>IF(C62="","",SUMPRODUCT((TRIM(F62:H62)&lt;&gt;"")*(TRIM(F62:H62)&lt;&gt;"None")*(TRIM(F62:H62)&lt;&gt;"-")))</f>
        <v/>
      </c>
      <c r="M62" s="19">
        <f>IF(C62="","",COUNTIF('Request Form Fields'!$B$6:$B$66,C62))</f>
        <v/>
      </c>
      <c r="N62" s="18" t="n"/>
    </row>
    <row r="63">
      <c r="A63" s="17">
        <f>IF(C63="","","SVC-"&amp;TEXT(ROW()-5,"00"))</f>
        <v/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9">
        <f>IF(C63="","",SUMPRODUCT((TRIM(F63:H63)&lt;&gt;"")*(TRIM(F63:H63)&lt;&gt;"None")*(TRIM(F63:H63)&lt;&gt;"-")))</f>
        <v/>
      </c>
      <c r="M63" s="19">
        <f>IF(C63="","",COUNTIF('Request Form Fields'!$B$6:$B$66,C63))</f>
        <v/>
      </c>
      <c r="N63" s="18" t="n"/>
    </row>
    <row r="64">
      <c r="A64" s="17">
        <f>IF(C64="","","SVC-"&amp;TEXT(ROW()-5,"00"))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9">
        <f>IF(C64="","",SUMPRODUCT((TRIM(F64:H64)&lt;&gt;"")*(TRIM(F64:H64)&lt;&gt;"None")*(TRIM(F64:H64)&lt;&gt;"-")))</f>
        <v/>
      </c>
      <c r="M64" s="19">
        <f>IF(C64="","",COUNTIF('Request Form Fields'!$B$6:$B$66,C64))</f>
        <v/>
      </c>
      <c r="N64" s="18" t="n"/>
    </row>
    <row r="65">
      <c r="A65" s="17">
        <f>IF(C65="","","SVC-"&amp;TEXT(ROW()-5,"00"))</f>
        <v/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9">
        <f>IF(C65="","",SUMPRODUCT((TRIM(F65:H65)&lt;&gt;"")*(TRIM(F65:H65)&lt;&gt;"None")*(TRIM(F65:H65)&lt;&gt;"-")))</f>
        <v/>
      </c>
      <c r="M65" s="19">
        <f>IF(C65="","",COUNTIF('Request Form Fields'!$B$6:$B$66,C65))</f>
        <v/>
      </c>
      <c r="N65" s="18" t="n"/>
    </row>
    <row r="66">
      <c r="A66" s="17">
        <f>IF(C66="","","SVC-"&amp;TEXT(ROW()-5,"00"))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9">
        <f>IF(C66="","",SUMPRODUCT((TRIM(F66:H66)&lt;&gt;"")*(TRIM(F66:H66)&lt;&gt;"None")*(TRIM(F66:H66)&lt;&gt;"-")))</f>
        <v/>
      </c>
      <c r="M66" s="19">
        <f>IF(C66="","",COUNTIF('Request Form Fields'!$B$6:$B$66,C66))</f>
        <v/>
      </c>
      <c r="N66" s="18" t="n"/>
    </row>
  </sheetData>
  <mergeCells count="2">
    <mergeCell ref="B1:N1"/>
    <mergeCell ref="B2:N2"/>
  </mergeCells>
  <dataValidations count="6">
    <dataValidation sqref="E7:E66" showDropDown="0" showInputMessage="0" showErrorMessage="0" allowBlank="1" errorTitle="Pick from the list" error="Choose a value from the dropdown, or add it to the list first." type="list">
      <formula1>=Requesters</formula1>
    </dataValidation>
    <dataValidation sqref="F7:F66" showDropDown="0" showInputMessage="0" showErrorMessage="0" allowBlank="1" errorTitle="Pick from the list" error="Choose a value from the dropdown, or add it to the list first." type="list">
      <formula1>=Approvers</formula1>
    </dataValidation>
    <dataValidation sqref="G7:G66" showDropDown="0" showInputMessage="0" showErrorMessage="0" allowBlank="1" errorTitle="Pick from the list" error="Choose a value from the dropdown, or add it to the list first." type="list">
      <formula1>=Approvers</formula1>
    </dataValidation>
    <dataValidation sqref="H7:H66" showDropDown="0" showInputMessage="0" showErrorMessage="0" allowBlank="1" errorTitle="Pick from the list" error="Choose a value from the dropdown, or add it to the list first." type="list">
      <formula1>=Approvers</formula1>
    </dataValidation>
    <dataValidation sqref="I7:I66" showDropDown="0" showInputMessage="0" showErrorMessage="0" allowBlank="1" type="list">
      <formula1>=GroupNames</formula1>
    </dataValidation>
    <dataValidation sqref="J7:J66" showDropDown="0" showInputMessage="0" showErrorMessage="0" allowBlank="1" type="list">
      <formula1>=GroupNames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24638"/>
    <outlinePr summaryBelow="1" summaryRight="1"/>
    <pageSetUpPr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8" customWidth="1" min="3" max="3"/>
    <col width="30" customWidth="1" min="4" max="4"/>
    <col width="26" customWidth="1" min="5" max="5"/>
    <col width="24" customWidth="1" min="6" max="6"/>
    <col width="11" customWidth="1" min="7" max="7"/>
    <col width="36" customWidth="1" min="8" max="8"/>
    <col width="34" customWidth="1" min="9" max="9"/>
    <col width="18" customWidth="1" min="10" max="10"/>
    <col width="34" customWidth="1" min="11" max="11"/>
    <col width="28" customWidth="1" min="12" max="12"/>
  </cols>
  <sheetData>
    <row r="1" ht="44" customHeight="1">
      <c r="B1" s="1" t="inlineStr">
        <is>
          <t>Request Form Fields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B2" s="3" t="inlineStr">
        <is>
          <t>One row per field on a service's request form, in the order they appear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13" t="inlineStr">
        <is>
          <t>Do not add 'Requester name' or 'Date submitted' as fields - Jira records both automatically (choose the 'Automatic' field types if you want them listed).</t>
        </is>
      </c>
    </row>
    <row r="5" ht="48" customHeight="1">
      <c r="A5" s="14" t="inlineStr">
        <is>
          <t>Field ID</t>
        </is>
      </c>
      <c r="B5" s="14" t="inlineStr">
        <is>
          <t>Service Name
اسم الخدمة</t>
        </is>
      </c>
      <c r="C5" s="14" t="inlineStr">
        <is>
          <t>Order</t>
        </is>
      </c>
      <c r="D5" s="14" t="inlineStr">
        <is>
          <t>Field label (English)</t>
        </is>
      </c>
      <c r="E5" s="14" t="inlineStr">
        <is>
          <t>Field label (Arabic)
اسم الحقل</t>
        </is>
      </c>
      <c r="F5" s="14" t="inlineStr">
        <is>
          <t>Field type
نوع الحقل</t>
        </is>
      </c>
      <c r="G5" s="14" t="inlineStr">
        <is>
          <t>Required?
إلزامي؟</t>
        </is>
      </c>
      <c r="H5" s="14" t="inlineStr">
        <is>
          <t>Dropdown options (separate with ;)
الخيارات</t>
        </is>
      </c>
      <c r="I5" s="14" t="inlineStr">
        <is>
          <t>Help text shown under the field</t>
        </is>
      </c>
      <c r="J5" s="14" t="inlineStr">
        <is>
          <t>Who fills it?</t>
        </is>
      </c>
      <c r="K5" s="14" t="inlineStr">
        <is>
          <t>Jira: field type</t>
        </is>
      </c>
      <c r="L5" s="14" t="inlineStr">
        <is>
          <t>Ejada notes</t>
        </is>
      </c>
    </row>
    <row r="6">
      <c r="A6" s="15" t="inlineStr">
        <is>
          <t>FLD-001</t>
        </is>
      </c>
      <c r="B6" s="15" t="inlineStr">
        <is>
          <t>Submit a report anonymously</t>
        </is>
      </c>
      <c r="C6" s="15" t="n">
        <v>1</v>
      </c>
      <c r="D6" s="15" t="inlineStr">
        <is>
          <t>Summary</t>
        </is>
      </c>
      <c r="E6" s="15" t="inlineStr">
        <is>
          <t>الموضوع</t>
        </is>
      </c>
      <c r="F6" s="15" t="inlineStr">
        <is>
          <t>Single-line text</t>
        </is>
      </c>
      <c r="G6" s="15" t="inlineStr">
        <is>
          <t>Yes</t>
        </is>
      </c>
      <c r="H6" s="15" t="inlineStr"/>
      <c r="I6" s="15" t="inlineStr">
        <is>
          <t>A short title, for example "Supplier invoice inflated".</t>
        </is>
      </c>
      <c r="J6" s="15" t="inlineStr">
        <is>
          <t>Requester (portal)</t>
        </is>
      </c>
      <c r="K6" s="15">
        <f>IF(F6="","",IFERROR(INDEX(JiraField,MATCH(F6,FieldType,0)),"Ejada to review"))</f>
        <v/>
      </c>
      <c r="L6" s="15" t="inlineStr">
        <is>
          <t>System field: Summary.</t>
        </is>
      </c>
    </row>
    <row r="7">
      <c r="A7" s="17">
        <f>IF(D7="","","FLD-"&amp;TEXT(ROW()-5,"000"))</f>
        <v/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7">
        <f>IF(F7="","",IFERROR(INDEX(JiraField,MATCH(F7,FieldType,0)),"Ejada to review"))</f>
        <v/>
      </c>
      <c r="L7" s="18" t="n"/>
    </row>
    <row r="8">
      <c r="A8" s="17">
        <f>IF(D8="","","FLD-"&amp;TEXT(ROW()-5,"000"))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7">
        <f>IF(F8="","",IFERROR(INDEX(JiraField,MATCH(F8,FieldType,0)),"Ejada to review"))</f>
        <v/>
      </c>
      <c r="L8" s="18" t="n"/>
    </row>
    <row r="9">
      <c r="A9" s="17">
        <f>IF(D9="","","FLD-"&amp;TEXT(ROW()-5,"000"))</f>
        <v/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7">
        <f>IF(F9="","",IFERROR(INDEX(JiraField,MATCH(F9,FieldType,0)),"Ejada to review"))</f>
        <v/>
      </c>
      <c r="L9" s="18" t="n"/>
    </row>
    <row r="10">
      <c r="A10" s="17">
        <f>IF(D10="","","FLD-"&amp;TEXT(ROW()-5,"000"))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7">
        <f>IF(F10="","",IFERROR(INDEX(JiraField,MATCH(F10,FieldType,0)),"Ejada to review"))</f>
        <v/>
      </c>
      <c r="L10" s="18" t="n"/>
    </row>
    <row r="11">
      <c r="A11" s="17">
        <f>IF(D11="","","FLD-"&amp;TEXT(ROW()-5,"000"))</f>
        <v/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7">
        <f>IF(F11="","",IFERROR(INDEX(JiraField,MATCH(F11,FieldType,0)),"Ejada to review"))</f>
        <v/>
      </c>
      <c r="L11" s="18" t="n"/>
    </row>
    <row r="12">
      <c r="A12" s="17">
        <f>IF(D12="","","FLD-"&amp;TEXT(ROW()-5,"000"))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7">
        <f>IF(F12="","",IFERROR(INDEX(JiraField,MATCH(F12,FieldType,0)),"Ejada to review"))</f>
        <v/>
      </c>
      <c r="L12" s="18" t="n"/>
    </row>
    <row r="13">
      <c r="A13" s="17">
        <f>IF(D13="","","FLD-"&amp;TEXT(ROW()-5,"000"))</f>
        <v/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7">
        <f>IF(F13="","",IFERROR(INDEX(JiraField,MATCH(F13,FieldType,0)),"Ejada to review"))</f>
        <v/>
      </c>
      <c r="L13" s="18" t="n"/>
    </row>
    <row r="14">
      <c r="A14" s="17">
        <f>IF(D14="","","FLD-"&amp;TEXT(ROW()-5,"000"))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7">
        <f>IF(F14="","",IFERROR(INDEX(JiraField,MATCH(F14,FieldType,0)),"Ejada to review"))</f>
        <v/>
      </c>
      <c r="L14" s="18" t="n"/>
    </row>
    <row r="15">
      <c r="A15" s="17">
        <f>IF(D15="","","FLD-"&amp;TEXT(ROW()-5,"000"))</f>
        <v/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7">
        <f>IF(F15="","",IFERROR(INDEX(JiraField,MATCH(F15,FieldType,0)),"Ejada to review"))</f>
        <v/>
      </c>
      <c r="L15" s="18" t="n"/>
    </row>
    <row r="16">
      <c r="A16" s="17">
        <f>IF(D16="","","FLD-"&amp;TEXT(ROW()-5,"000"))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7">
        <f>IF(F16="","",IFERROR(INDEX(JiraField,MATCH(F16,FieldType,0)),"Ejada to review"))</f>
        <v/>
      </c>
      <c r="L16" s="18" t="n"/>
    </row>
    <row r="17">
      <c r="A17" s="17">
        <f>IF(D17="","","FLD-"&amp;TEXT(ROW()-5,"000"))</f>
        <v/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7">
        <f>IF(F17="","",IFERROR(INDEX(JiraField,MATCH(F17,FieldType,0)),"Ejada to review"))</f>
        <v/>
      </c>
      <c r="L17" s="18" t="n"/>
    </row>
    <row r="18">
      <c r="A18" s="17">
        <f>IF(D18="","","FLD-"&amp;TEXT(ROW()-5,"000"))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7">
        <f>IF(F18="","",IFERROR(INDEX(JiraField,MATCH(F18,FieldType,0)),"Ejada to review"))</f>
        <v/>
      </c>
      <c r="L18" s="18" t="n"/>
    </row>
    <row r="19">
      <c r="A19" s="17">
        <f>IF(D19="","","FLD-"&amp;TEXT(ROW()-5,"000"))</f>
        <v/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7">
        <f>IF(F19="","",IFERROR(INDEX(JiraField,MATCH(F19,FieldType,0)),"Ejada to review"))</f>
        <v/>
      </c>
      <c r="L19" s="18" t="n"/>
    </row>
    <row r="20">
      <c r="A20" s="17">
        <f>IF(D20="","","FLD-"&amp;TEXT(ROW()-5,"000"))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7">
        <f>IF(F20="","",IFERROR(INDEX(JiraField,MATCH(F20,FieldType,0)),"Ejada to review"))</f>
        <v/>
      </c>
      <c r="L20" s="18" t="n"/>
    </row>
    <row r="21">
      <c r="A21" s="17">
        <f>IF(D21="","","FLD-"&amp;TEXT(ROW()-5,"000"))</f>
        <v/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7">
        <f>IF(F21="","",IFERROR(INDEX(JiraField,MATCH(F21,FieldType,0)),"Ejada to review"))</f>
        <v/>
      </c>
      <c r="L21" s="18" t="n"/>
    </row>
    <row r="22">
      <c r="A22" s="17">
        <f>IF(D22="","","FLD-"&amp;TEXT(ROW()-5,"000"))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7">
        <f>IF(F22="","",IFERROR(INDEX(JiraField,MATCH(F22,FieldType,0)),"Ejada to review"))</f>
        <v/>
      </c>
      <c r="L22" s="18" t="n"/>
    </row>
    <row r="23">
      <c r="A23" s="17">
        <f>IF(D23="","","FLD-"&amp;TEXT(ROW()-5,"000"))</f>
        <v/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7">
        <f>IF(F23="","",IFERROR(INDEX(JiraField,MATCH(F23,FieldType,0)),"Ejada to review"))</f>
        <v/>
      </c>
      <c r="L23" s="18" t="n"/>
    </row>
    <row r="24">
      <c r="A24" s="17">
        <f>IF(D24="","","FLD-"&amp;TEXT(ROW()-5,"000"))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7">
        <f>IF(F24="","",IFERROR(INDEX(JiraField,MATCH(F24,FieldType,0)),"Ejada to review"))</f>
        <v/>
      </c>
      <c r="L24" s="18" t="n"/>
    </row>
    <row r="25">
      <c r="A25" s="17">
        <f>IF(D25="","","FLD-"&amp;TEXT(ROW()-5,"000"))</f>
        <v/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7">
        <f>IF(F25="","",IFERROR(INDEX(JiraField,MATCH(F25,FieldType,0)),"Ejada to review"))</f>
        <v/>
      </c>
      <c r="L25" s="18" t="n"/>
    </row>
    <row r="26">
      <c r="A26" s="17">
        <f>IF(D26="","","FLD-"&amp;TEXT(ROW()-5,"000"))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7">
        <f>IF(F26="","",IFERROR(INDEX(JiraField,MATCH(F26,FieldType,0)),"Ejada to review"))</f>
        <v/>
      </c>
      <c r="L26" s="18" t="n"/>
    </row>
    <row r="27">
      <c r="A27" s="17">
        <f>IF(D27="","","FLD-"&amp;TEXT(ROW()-5,"000"))</f>
        <v/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7">
        <f>IF(F27="","",IFERROR(INDEX(JiraField,MATCH(F27,FieldType,0)),"Ejada to review"))</f>
        <v/>
      </c>
      <c r="L27" s="18" t="n"/>
    </row>
    <row r="28">
      <c r="A28" s="17">
        <f>IF(D28="","","FLD-"&amp;TEXT(ROW()-5,"000"))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7">
        <f>IF(F28="","",IFERROR(INDEX(JiraField,MATCH(F28,FieldType,0)),"Ejada to review"))</f>
        <v/>
      </c>
      <c r="L28" s="18" t="n"/>
    </row>
    <row r="29">
      <c r="A29" s="17">
        <f>IF(D29="","","FLD-"&amp;TEXT(ROW()-5,"000"))</f>
        <v/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7">
        <f>IF(F29="","",IFERROR(INDEX(JiraField,MATCH(F29,FieldType,0)),"Ejada to review"))</f>
        <v/>
      </c>
      <c r="L29" s="18" t="n"/>
    </row>
    <row r="30">
      <c r="A30" s="17">
        <f>IF(D30="","","FLD-"&amp;TEXT(ROW()-5,"000"))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7">
        <f>IF(F30="","",IFERROR(INDEX(JiraField,MATCH(F30,FieldType,0)),"Ejada to review"))</f>
        <v/>
      </c>
      <c r="L30" s="18" t="n"/>
    </row>
    <row r="31">
      <c r="A31" s="17">
        <f>IF(D31="","","FLD-"&amp;TEXT(ROW()-5,"000"))</f>
        <v/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7">
        <f>IF(F31="","",IFERROR(INDEX(JiraField,MATCH(F31,FieldType,0)),"Ejada to review"))</f>
        <v/>
      </c>
      <c r="L31" s="18" t="n"/>
    </row>
    <row r="32">
      <c r="A32" s="17">
        <f>IF(D32="","","FLD-"&amp;TEXT(ROW()-5,"000"))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7">
        <f>IF(F32="","",IFERROR(INDEX(JiraField,MATCH(F32,FieldType,0)),"Ejada to review"))</f>
        <v/>
      </c>
      <c r="L32" s="18" t="n"/>
    </row>
    <row r="33">
      <c r="A33" s="17">
        <f>IF(D33="","","FLD-"&amp;TEXT(ROW()-5,"000"))</f>
        <v/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7">
        <f>IF(F33="","",IFERROR(INDEX(JiraField,MATCH(F33,FieldType,0)),"Ejada to review"))</f>
        <v/>
      </c>
      <c r="L33" s="18" t="n"/>
    </row>
    <row r="34">
      <c r="A34" s="17">
        <f>IF(D34="","","FLD-"&amp;TEXT(ROW()-5,"000"))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7">
        <f>IF(F34="","",IFERROR(INDEX(JiraField,MATCH(F34,FieldType,0)),"Ejada to review"))</f>
        <v/>
      </c>
      <c r="L34" s="18" t="n"/>
    </row>
    <row r="35">
      <c r="A35" s="17">
        <f>IF(D35="","","FLD-"&amp;TEXT(ROW()-5,"000"))</f>
        <v/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7">
        <f>IF(F35="","",IFERROR(INDEX(JiraField,MATCH(F35,FieldType,0)),"Ejada to review"))</f>
        <v/>
      </c>
      <c r="L35" s="18" t="n"/>
    </row>
    <row r="36">
      <c r="A36" s="17">
        <f>IF(D36="","","FLD-"&amp;TEXT(ROW()-5,"000"))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7">
        <f>IF(F36="","",IFERROR(INDEX(JiraField,MATCH(F36,FieldType,0)),"Ejada to review"))</f>
        <v/>
      </c>
      <c r="L36" s="18" t="n"/>
    </row>
    <row r="37">
      <c r="A37" s="17">
        <f>IF(D37="","","FLD-"&amp;TEXT(ROW()-5,"000"))</f>
        <v/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7">
        <f>IF(F37="","",IFERROR(INDEX(JiraField,MATCH(F37,FieldType,0)),"Ejada to review"))</f>
        <v/>
      </c>
      <c r="L37" s="18" t="n"/>
    </row>
    <row r="38">
      <c r="A38" s="17">
        <f>IF(D38="","","FLD-"&amp;TEXT(ROW()-5,"000"))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7">
        <f>IF(F38="","",IFERROR(INDEX(JiraField,MATCH(F38,FieldType,0)),"Ejada to review"))</f>
        <v/>
      </c>
      <c r="L38" s="18" t="n"/>
    </row>
    <row r="39">
      <c r="A39" s="17">
        <f>IF(D39="","","FLD-"&amp;TEXT(ROW()-5,"000"))</f>
        <v/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7">
        <f>IF(F39="","",IFERROR(INDEX(JiraField,MATCH(F39,FieldType,0)),"Ejada to review"))</f>
        <v/>
      </c>
      <c r="L39" s="18" t="n"/>
    </row>
    <row r="40">
      <c r="A40" s="17">
        <f>IF(D40="","","FLD-"&amp;TEXT(ROW()-5,"000"))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7">
        <f>IF(F40="","",IFERROR(INDEX(JiraField,MATCH(F40,FieldType,0)),"Ejada to review"))</f>
        <v/>
      </c>
      <c r="L40" s="18" t="n"/>
    </row>
    <row r="41">
      <c r="A41" s="17">
        <f>IF(D41="","","FLD-"&amp;TEXT(ROW()-5,"000"))</f>
        <v/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7">
        <f>IF(F41="","",IFERROR(INDEX(JiraField,MATCH(F41,FieldType,0)),"Ejada to review"))</f>
        <v/>
      </c>
      <c r="L41" s="18" t="n"/>
    </row>
    <row r="42">
      <c r="A42" s="17">
        <f>IF(D42="","","FLD-"&amp;TEXT(ROW()-5,"000"))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7">
        <f>IF(F42="","",IFERROR(INDEX(JiraField,MATCH(F42,FieldType,0)),"Ejada to review"))</f>
        <v/>
      </c>
      <c r="L42" s="18" t="n"/>
    </row>
    <row r="43">
      <c r="A43" s="17">
        <f>IF(D43="","","FLD-"&amp;TEXT(ROW()-5,"000"))</f>
        <v/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7">
        <f>IF(F43="","",IFERROR(INDEX(JiraField,MATCH(F43,FieldType,0)),"Ejada to review"))</f>
        <v/>
      </c>
      <c r="L43" s="18" t="n"/>
    </row>
    <row r="44">
      <c r="A44" s="17">
        <f>IF(D44="","","FLD-"&amp;TEXT(ROW()-5,"000"))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7">
        <f>IF(F44="","",IFERROR(INDEX(JiraField,MATCH(F44,FieldType,0)),"Ejada to review"))</f>
        <v/>
      </c>
      <c r="L44" s="18" t="n"/>
    </row>
    <row r="45">
      <c r="A45" s="17">
        <f>IF(D45="","","FLD-"&amp;TEXT(ROW()-5,"000"))</f>
        <v/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7">
        <f>IF(F45="","",IFERROR(INDEX(JiraField,MATCH(F45,FieldType,0)),"Ejada to review"))</f>
        <v/>
      </c>
      <c r="L45" s="18" t="n"/>
    </row>
    <row r="46">
      <c r="A46" s="17">
        <f>IF(D46="","","FLD-"&amp;TEXT(ROW()-5,"000"))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7">
        <f>IF(F46="","",IFERROR(INDEX(JiraField,MATCH(F46,FieldType,0)),"Ejada to review"))</f>
        <v/>
      </c>
      <c r="L46" s="18" t="n"/>
    </row>
    <row r="47">
      <c r="A47" s="17">
        <f>IF(D47="","","FLD-"&amp;TEXT(ROW()-5,"000"))</f>
        <v/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7">
        <f>IF(F47="","",IFERROR(INDEX(JiraField,MATCH(F47,FieldType,0)),"Ejada to review"))</f>
        <v/>
      </c>
      <c r="L47" s="18" t="n"/>
    </row>
    <row r="48">
      <c r="A48" s="17">
        <f>IF(D48="","","FLD-"&amp;TEXT(ROW()-5,"000"))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7">
        <f>IF(F48="","",IFERROR(INDEX(JiraField,MATCH(F48,FieldType,0)),"Ejada to review"))</f>
        <v/>
      </c>
      <c r="L48" s="18" t="n"/>
    </row>
    <row r="49">
      <c r="A49" s="17">
        <f>IF(D49="","","FLD-"&amp;TEXT(ROW()-5,"000"))</f>
        <v/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7">
        <f>IF(F49="","",IFERROR(INDEX(JiraField,MATCH(F49,FieldType,0)),"Ejada to review"))</f>
        <v/>
      </c>
      <c r="L49" s="18" t="n"/>
    </row>
    <row r="50">
      <c r="A50" s="17">
        <f>IF(D50="","","FLD-"&amp;TEXT(ROW()-5,"000"))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7">
        <f>IF(F50="","",IFERROR(INDEX(JiraField,MATCH(F50,FieldType,0)),"Ejada to review"))</f>
        <v/>
      </c>
      <c r="L50" s="18" t="n"/>
    </row>
    <row r="51">
      <c r="A51" s="17">
        <f>IF(D51="","","FLD-"&amp;TEXT(ROW()-5,"000"))</f>
        <v/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7">
        <f>IF(F51="","",IFERROR(INDEX(JiraField,MATCH(F51,FieldType,0)),"Ejada to review"))</f>
        <v/>
      </c>
      <c r="L51" s="18" t="n"/>
    </row>
    <row r="52">
      <c r="A52" s="17">
        <f>IF(D52="","","FLD-"&amp;TEXT(ROW()-5,"000"))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7">
        <f>IF(F52="","",IFERROR(INDEX(JiraField,MATCH(F52,FieldType,0)),"Ejada to review"))</f>
        <v/>
      </c>
      <c r="L52" s="18" t="n"/>
    </row>
    <row r="53">
      <c r="A53" s="17">
        <f>IF(D53="","","FLD-"&amp;TEXT(ROW()-5,"000"))</f>
        <v/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7">
        <f>IF(F53="","",IFERROR(INDEX(JiraField,MATCH(F53,FieldType,0)),"Ejada to review"))</f>
        <v/>
      </c>
      <c r="L53" s="18" t="n"/>
    </row>
    <row r="54">
      <c r="A54" s="17">
        <f>IF(D54="","","FLD-"&amp;TEXT(ROW()-5,"000"))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7">
        <f>IF(F54="","",IFERROR(INDEX(JiraField,MATCH(F54,FieldType,0)),"Ejada to review"))</f>
        <v/>
      </c>
      <c r="L54" s="18" t="n"/>
    </row>
    <row r="55">
      <c r="A55" s="17">
        <f>IF(D55="","","FLD-"&amp;TEXT(ROW()-5,"000"))</f>
        <v/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7">
        <f>IF(F55="","",IFERROR(INDEX(JiraField,MATCH(F55,FieldType,0)),"Ejada to review"))</f>
        <v/>
      </c>
      <c r="L55" s="18" t="n"/>
    </row>
    <row r="56">
      <c r="A56" s="17">
        <f>IF(D56="","","FLD-"&amp;TEXT(ROW()-5,"000"))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7">
        <f>IF(F56="","",IFERROR(INDEX(JiraField,MATCH(F56,FieldType,0)),"Ejada to review"))</f>
        <v/>
      </c>
      <c r="L56" s="18" t="n"/>
    </row>
    <row r="57">
      <c r="A57" s="17">
        <f>IF(D57="","","FLD-"&amp;TEXT(ROW()-5,"000"))</f>
        <v/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7">
        <f>IF(F57="","",IFERROR(INDEX(JiraField,MATCH(F57,FieldType,0)),"Ejada to review"))</f>
        <v/>
      </c>
      <c r="L57" s="18" t="n"/>
    </row>
    <row r="58">
      <c r="A58" s="17">
        <f>IF(D58="","","FLD-"&amp;TEXT(ROW()-5,"000"))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7">
        <f>IF(F58="","",IFERROR(INDEX(JiraField,MATCH(F58,FieldType,0)),"Ejada to review"))</f>
        <v/>
      </c>
      <c r="L58" s="18" t="n"/>
    </row>
    <row r="59">
      <c r="A59" s="17">
        <f>IF(D59="","","FLD-"&amp;TEXT(ROW()-5,"000"))</f>
        <v/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7">
        <f>IF(F59="","",IFERROR(INDEX(JiraField,MATCH(F59,FieldType,0)),"Ejada to review"))</f>
        <v/>
      </c>
      <c r="L59" s="18" t="n"/>
    </row>
    <row r="60">
      <c r="A60" s="17">
        <f>IF(D60="","","FLD-"&amp;TEXT(ROW()-5,"000"))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7">
        <f>IF(F60="","",IFERROR(INDEX(JiraField,MATCH(F60,FieldType,0)),"Ejada to review"))</f>
        <v/>
      </c>
      <c r="L60" s="18" t="n"/>
    </row>
    <row r="61">
      <c r="A61" s="17">
        <f>IF(D61="","","FLD-"&amp;TEXT(ROW()-5,"000"))</f>
        <v/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7">
        <f>IF(F61="","",IFERROR(INDEX(JiraField,MATCH(F61,FieldType,0)),"Ejada to review"))</f>
        <v/>
      </c>
      <c r="L61" s="18" t="n"/>
    </row>
    <row r="62">
      <c r="A62" s="17">
        <f>IF(D62="","","FLD-"&amp;TEXT(ROW()-5,"000"))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7">
        <f>IF(F62="","",IFERROR(INDEX(JiraField,MATCH(F62,FieldType,0)),"Ejada to review"))</f>
        <v/>
      </c>
      <c r="L62" s="18" t="n"/>
    </row>
    <row r="63">
      <c r="A63" s="17">
        <f>IF(D63="","","FLD-"&amp;TEXT(ROW()-5,"000"))</f>
        <v/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7">
        <f>IF(F63="","",IFERROR(INDEX(JiraField,MATCH(F63,FieldType,0)),"Ejada to review"))</f>
        <v/>
      </c>
      <c r="L63" s="18" t="n"/>
    </row>
    <row r="64">
      <c r="A64" s="17">
        <f>IF(D64="","","FLD-"&amp;TEXT(ROW()-5,"000"))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7">
        <f>IF(F64="","",IFERROR(INDEX(JiraField,MATCH(F64,FieldType,0)),"Ejada to review"))</f>
        <v/>
      </c>
      <c r="L64" s="18" t="n"/>
    </row>
    <row r="65">
      <c r="A65" s="17">
        <f>IF(D65="","","FLD-"&amp;TEXT(ROW()-5,"000"))</f>
        <v/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7">
        <f>IF(F65="","",IFERROR(INDEX(JiraField,MATCH(F65,FieldType,0)),"Ejada to review"))</f>
        <v/>
      </c>
      <c r="L65" s="18" t="n"/>
    </row>
    <row r="66">
      <c r="A66" s="17">
        <f>IF(D66="","","FLD-"&amp;TEXT(ROW()-5,"000"))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7">
        <f>IF(F66="","",IFERROR(INDEX(JiraField,MATCH(F66,FieldType,0)),"Ejada to review"))</f>
        <v/>
      </c>
      <c r="L66" s="18" t="n"/>
    </row>
  </sheetData>
  <mergeCells count="2">
    <mergeCell ref="B2:L2"/>
    <mergeCell ref="B1:L1"/>
  </mergeCells>
  <dataValidations count="5">
    <dataValidation sqref="B7:B66" showDropDown="0" showInputMessage="0" showErrorMessage="1" allowBlank="1" errorTitle="Unknown service" error="Pick a service from the 'Service Catalog' sheet." type="list">
      <formula1>=ServiceNames</formula1>
    </dataValidation>
    <dataValidation sqref="C7:C66" showDropDown="0" showInputMessage="0" showErrorMessage="1" allowBlank="1" error="Enter a number greater than 0." type="whole" operator="greaterThan">
      <formula1>0</formula1>
    </dataValidation>
    <dataValidation sqref="F7:F66" showDropDown="0" showInputMessage="0" showErrorMessage="1" allowBlank="1" errorTitle="Pick from the list" error="Choose a value from the dropdown, or add it to the list first." type="list">
      <formula1>=FieldType</formula1>
    </dataValidation>
    <dataValidation sqref="G7:G66" showDropDown="0" showInputMessage="0" showErrorMessage="1" allowBlank="1" errorTitle="Pick from the list" error="Choose a value from the dropdown, or add it to the list first." type="list">
      <formula1>=YesNo</formula1>
    </dataValidation>
    <dataValidation sqref="J7:J66" showDropDown="0" showInputMessage="0" showErrorMessage="1" allowBlank="1" errorTitle="Pick from the list" error="Choose a value from the dropdown, or add it to the list first." type="list">
      <formula1>=FilledBy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6B78E"/>
    <outlinePr summaryBelow="1" summaryRight="1"/>
    <pageSetUpPr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5" customWidth="1" min="4" max="4"/>
    <col width="35" customWidth="1" min="5" max="5"/>
    <col width="16" customWidth="1" min="6" max="6"/>
    <col width="22" customWidth="1" min="7" max="7"/>
    <col width="20" customWidth="1" min="8" max="8"/>
    <col width="40" customWidth="1" min="9" max="9"/>
    <col width="14" customWidth="1" min="10" max="10"/>
    <col width="14" customWidth="1" min="11" max="11"/>
    <col width="30" customWidth="1" min="12" max="12"/>
  </cols>
  <sheetData>
    <row r="1" ht="44" customHeight="1">
      <c r="B1" s="1" t="inlineStr">
        <is>
          <t>Other Requirements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B2" s="3" t="inlineStr">
        <is>
          <t>Anything that is not a service or a form field - one row per requirement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13" t="inlineStr">
        <is>
          <t>Tip: keep one requirement per row. Use 'Acceptance criteria' to say how we will know it is done.</t>
        </is>
      </c>
    </row>
    <row r="5" ht="34" customHeight="1">
      <c r="A5" s="14" t="inlineStr">
        <is>
          <t>Req ID</t>
        </is>
      </c>
      <c r="B5" s="14" t="inlineStr">
        <is>
          <t>Area</t>
        </is>
      </c>
      <c r="C5" s="14" t="inlineStr">
        <is>
          <t>Requirement title</t>
        </is>
      </c>
      <c r="D5" s="14" t="inlineStr">
        <is>
          <t>Description</t>
        </is>
      </c>
      <c r="E5" s="14" t="inlineStr">
        <is>
          <t>Business justification</t>
        </is>
      </c>
      <c r="F5" s="14" t="inlineStr">
        <is>
          <t>Priority</t>
        </is>
      </c>
      <c r="G5" s="14" t="inlineStr">
        <is>
          <t>Requested by (name)</t>
        </is>
      </c>
      <c r="H5" s="14" t="inlineStr">
        <is>
          <t>Department</t>
        </is>
      </c>
      <c r="I5" s="14" t="inlineStr">
        <is>
          <t>Acceptance criteria</t>
        </is>
      </c>
      <c r="J5" s="14" t="inlineStr">
        <is>
          <t>Target date</t>
        </is>
      </c>
      <c r="K5" s="14" t="inlineStr">
        <is>
          <t>Status</t>
        </is>
      </c>
      <c r="L5" s="14" t="inlineStr">
        <is>
          <t>Ejada notes</t>
        </is>
      </c>
    </row>
    <row r="6">
      <c r="A6" s="15" t="inlineStr">
        <is>
          <t>BR-001</t>
        </is>
      </c>
      <c r="B6" s="15" t="inlineStr">
        <is>
          <t>Notifications</t>
        </is>
      </c>
      <c r="C6" s="15" t="inlineStr">
        <is>
          <t>Notify Compliance on every new report</t>
        </is>
      </c>
      <c r="D6" s="15" t="inlineStr">
        <is>
          <t>When a report is submitted, every member of GRC-Compliance receives an email with the reference number and a link.</t>
        </is>
      </c>
      <c r="E6" s="15" t="inlineStr">
        <is>
          <t>Reports must be seen within the same working day.</t>
        </is>
      </c>
      <c r="F6" s="15" t="inlineStr">
        <is>
          <t>Must have</t>
        </is>
      </c>
      <c r="G6" s="15" t="inlineStr">
        <is>
          <t>Head of Compliance</t>
        </is>
      </c>
      <c r="H6" s="15" t="inlineStr">
        <is>
          <t>Compliance</t>
        </is>
      </c>
      <c r="I6" s="15" t="inlineStr">
        <is>
          <t>A test report generates one email per GRC-Compliance member within 5 minutes; the email has no report details.</t>
        </is>
      </c>
      <c r="J6" s="20" t="inlineStr">
        <is>
          <t>2026-11-15</t>
        </is>
      </c>
      <c r="K6" s="15" t="inlineStr">
        <is>
          <t>Implemented</t>
        </is>
      </c>
      <c r="L6" s="15" t="inlineStr">
        <is>
          <t>Live in sandbox.</t>
        </is>
      </c>
    </row>
    <row r="7">
      <c r="A7" s="17">
        <f>IF(C7="","","BR-"&amp;TEXT(ROW()-5,"000"))</f>
        <v/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21" t="n"/>
      <c r="K7" s="18" t="n"/>
      <c r="L7" s="18" t="n"/>
    </row>
    <row r="8">
      <c r="A8" s="17">
        <f>IF(C8="","","BR-"&amp;TEXT(ROW()-5,"000"))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21" t="n"/>
      <c r="K8" s="18" t="n"/>
      <c r="L8" s="18" t="n"/>
    </row>
    <row r="9">
      <c r="A9" s="17">
        <f>IF(C9="","","BR-"&amp;TEXT(ROW()-5,"000"))</f>
        <v/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21" t="n"/>
      <c r="K9" s="18" t="n"/>
      <c r="L9" s="18" t="n"/>
    </row>
    <row r="10">
      <c r="A10" s="17">
        <f>IF(C10="","","BR-"&amp;TEXT(ROW()-5,"000"))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21" t="n"/>
      <c r="K10" s="18" t="n"/>
      <c r="L10" s="18" t="n"/>
    </row>
    <row r="11">
      <c r="A11" s="17">
        <f>IF(C11="","","BR-"&amp;TEXT(ROW()-5,"000"))</f>
        <v/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21" t="n"/>
      <c r="K11" s="18" t="n"/>
      <c r="L11" s="18" t="n"/>
    </row>
    <row r="12">
      <c r="A12" s="17">
        <f>IF(C12="","","BR-"&amp;TEXT(ROW()-5,"000"))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21" t="n"/>
      <c r="K12" s="18" t="n"/>
      <c r="L12" s="18" t="n"/>
    </row>
    <row r="13">
      <c r="A13" s="17">
        <f>IF(C13="","","BR-"&amp;TEXT(ROW()-5,"000"))</f>
        <v/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21" t="n"/>
      <c r="K13" s="18" t="n"/>
      <c r="L13" s="18" t="n"/>
    </row>
    <row r="14">
      <c r="A14" s="17">
        <f>IF(C14="","","BR-"&amp;TEXT(ROW()-5,"000"))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21" t="n"/>
      <c r="K14" s="18" t="n"/>
      <c r="L14" s="18" t="n"/>
    </row>
    <row r="15">
      <c r="A15" s="17">
        <f>IF(C15="","","BR-"&amp;TEXT(ROW()-5,"000"))</f>
        <v/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21" t="n"/>
      <c r="K15" s="18" t="n"/>
      <c r="L15" s="18" t="n"/>
    </row>
    <row r="16">
      <c r="A16" s="17">
        <f>IF(C16="","","BR-"&amp;TEXT(ROW()-5,"000"))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21" t="n"/>
      <c r="K16" s="18" t="n"/>
      <c r="L16" s="18" t="n"/>
    </row>
    <row r="17">
      <c r="A17" s="17">
        <f>IF(C17="","","BR-"&amp;TEXT(ROW()-5,"000"))</f>
        <v/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21" t="n"/>
      <c r="K17" s="18" t="n"/>
      <c r="L17" s="18" t="n"/>
    </row>
    <row r="18">
      <c r="A18" s="17">
        <f>IF(C18="","","BR-"&amp;TEXT(ROW()-5,"000"))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21" t="n"/>
      <c r="K18" s="18" t="n"/>
      <c r="L18" s="18" t="n"/>
    </row>
    <row r="19">
      <c r="A19" s="17">
        <f>IF(C19="","","BR-"&amp;TEXT(ROW()-5,"000"))</f>
        <v/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21" t="n"/>
      <c r="K19" s="18" t="n"/>
      <c r="L19" s="18" t="n"/>
    </row>
    <row r="20">
      <c r="A20" s="17">
        <f>IF(C20="","","BR-"&amp;TEXT(ROW()-5,"000"))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21" t="n"/>
      <c r="K20" s="18" t="n"/>
      <c r="L20" s="18" t="n"/>
    </row>
    <row r="21">
      <c r="A21" s="17">
        <f>IF(C21="","","BR-"&amp;TEXT(ROW()-5,"000"))</f>
        <v/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21" t="n"/>
      <c r="K21" s="18" t="n"/>
      <c r="L21" s="18" t="n"/>
    </row>
    <row r="22">
      <c r="A22" s="17">
        <f>IF(C22="","","BR-"&amp;TEXT(ROW()-5,"000"))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21" t="n"/>
      <c r="K22" s="18" t="n"/>
      <c r="L22" s="18" t="n"/>
    </row>
    <row r="23">
      <c r="A23" s="17">
        <f>IF(C23="","","BR-"&amp;TEXT(ROW()-5,"000"))</f>
        <v/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21" t="n"/>
      <c r="K23" s="18" t="n"/>
      <c r="L23" s="18" t="n"/>
    </row>
    <row r="24">
      <c r="A24" s="17">
        <f>IF(C24="","","BR-"&amp;TEXT(ROW()-5,"000"))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21" t="n"/>
      <c r="K24" s="18" t="n"/>
      <c r="L24" s="18" t="n"/>
    </row>
    <row r="25">
      <c r="A25" s="17">
        <f>IF(C25="","","BR-"&amp;TEXT(ROW()-5,"000"))</f>
        <v/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21" t="n"/>
      <c r="K25" s="18" t="n"/>
      <c r="L25" s="18" t="n"/>
    </row>
    <row r="26">
      <c r="A26" s="17">
        <f>IF(C26="","","BR-"&amp;TEXT(ROW()-5,"000"))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21" t="n"/>
      <c r="K26" s="18" t="n"/>
      <c r="L26" s="18" t="n"/>
    </row>
    <row r="27">
      <c r="A27" s="17">
        <f>IF(C27="","","BR-"&amp;TEXT(ROW()-5,"000"))</f>
        <v/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21" t="n"/>
      <c r="K27" s="18" t="n"/>
      <c r="L27" s="18" t="n"/>
    </row>
    <row r="28">
      <c r="A28" s="17">
        <f>IF(C28="","","BR-"&amp;TEXT(ROW()-5,"000"))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21" t="n"/>
      <c r="K28" s="18" t="n"/>
      <c r="L28" s="18" t="n"/>
    </row>
    <row r="29">
      <c r="A29" s="17">
        <f>IF(C29="","","BR-"&amp;TEXT(ROW()-5,"000"))</f>
        <v/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21" t="n"/>
      <c r="K29" s="18" t="n"/>
      <c r="L29" s="18" t="n"/>
    </row>
    <row r="30">
      <c r="A30" s="17">
        <f>IF(C30="","","BR-"&amp;TEXT(ROW()-5,"000"))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21" t="n"/>
      <c r="K30" s="18" t="n"/>
      <c r="L30" s="18" t="n"/>
    </row>
    <row r="31">
      <c r="A31" s="17">
        <f>IF(C31="","","BR-"&amp;TEXT(ROW()-5,"000"))</f>
        <v/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21" t="n"/>
      <c r="K31" s="18" t="n"/>
      <c r="L31" s="18" t="n"/>
    </row>
    <row r="32">
      <c r="A32" s="17">
        <f>IF(C32="","","BR-"&amp;TEXT(ROW()-5,"000"))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21" t="n"/>
      <c r="K32" s="18" t="n"/>
      <c r="L32" s="18" t="n"/>
    </row>
    <row r="33">
      <c r="A33" s="17">
        <f>IF(C33="","","BR-"&amp;TEXT(ROW()-5,"000"))</f>
        <v/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21" t="n"/>
      <c r="K33" s="18" t="n"/>
      <c r="L33" s="18" t="n"/>
    </row>
    <row r="34">
      <c r="A34" s="17">
        <f>IF(C34="","","BR-"&amp;TEXT(ROW()-5,"000"))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21" t="n"/>
      <c r="K34" s="18" t="n"/>
      <c r="L34" s="18" t="n"/>
    </row>
    <row r="35">
      <c r="A35" s="17">
        <f>IF(C35="","","BR-"&amp;TEXT(ROW()-5,"000"))</f>
        <v/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21" t="n"/>
      <c r="K35" s="18" t="n"/>
      <c r="L35" s="18" t="n"/>
    </row>
    <row r="36">
      <c r="A36" s="17">
        <f>IF(C36="","","BR-"&amp;TEXT(ROW()-5,"000"))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21" t="n"/>
      <c r="K36" s="18" t="n"/>
      <c r="L36" s="18" t="n"/>
    </row>
    <row r="37">
      <c r="A37" s="17">
        <f>IF(C37="","","BR-"&amp;TEXT(ROW()-5,"000"))</f>
        <v/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21" t="n"/>
      <c r="K37" s="18" t="n"/>
      <c r="L37" s="18" t="n"/>
    </row>
    <row r="38">
      <c r="A38" s="17">
        <f>IF(C38="","","BR-"&amp;TEXT(ROW()-5,"000"))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21" t="n"/>
      <c r="K38" s="18" t="n"/>
      <c r="L38" s="18" t="n"/>
    </row>
    <row r="39">
      <c r="A39" s="17">
        <f>IF(C39="","","BR-"&amp;TEXT(ROW()-5,"000"))</f>
        <v/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21" t="n"/>
      <c r="K39" s="18" t="n"/>
      <c r="L39" s="18" t="n"/>
    </row>
    <row r="40">
      <c r="A40" s="17">
        <f>IF(C40="","","BR-"&amp;TEXT(ROW()-5,"000"))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21" t="n"/>
      <c r="K40" s="18" t="n"/>
      <c r="L40" s="18" t="n"/>
    </row>
    <row r="41">
      <c r="A41" s="17">
        <f>IF(C41="","","BR-"&amp;TEXT(ROW()-5,"000"))</f>
        <v/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21" t="n"/>
      <c r="K41" s="18" t="n"/>
      <c r="L41" s="18" t="n"/>
    </row>
    <row r="42">
      <c r="A42" s="17">
        <f>IF(C42="","","BR-"&amp;TEXT(ROW()-5,"000"))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21" t="n"/>
      <c r="K42" s="18" t="n"/>
      <c r="L42" s="18" t="n"/>
    </row>
    <row r="43">
      <c r="A43" s="17">
        <f>IF(C43="","","BR-"&amp;TEXT(ROW()-5,"000"))</f>
        <v/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21" t="n"/>
      <c r="K43" s="18" t="n"/>
      <c r="L43" s="18" t="n"/>
    </row>
    <row r="44">
      <c r="A44" s="17">
        <f>IF(C44="","","BR-"&amp;TEXT(ROW()-5,"000"))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21" t="n"/>
      <c r="K44" s="18" t="n"/>
      <c r="L44" s="18" t="n"/>
    </row>
    <row r="45">
      <c r="A45" s="17">
        <f>IF(C45="","","BR-"&amp;TEXT(ROW()-5,"000"))</f>
        <v/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21" t="n"/>
      <c r="K45" s="18" t="n"/>
      <c r="L45" s="18" t="n"/>
    </row>
    <row r="46">
      <c r="A46" s="17">
        <f>IF(C46="","","BR-"&amp;TEXT(ROW()-5,"000"))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21" t="n"/>
      <c r="K46" s="18" t="n"/>
      <c r="L46" s="18" t="n"/>
    </row>
    <row r="47">
      <c r="A47" s="17">
        <f>IF(C47="","","BR-"&amp;TEXT(ROW()-5,"000"))</f>
        <v/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21" t="n"/>
      <c r="K47" s="18" t="n"/>
      <c r="L47" s="18" t="n"/>
    </row>
    <row r="48">
      <c r="A48" s="17">
        <f>IF(C48="","","BR-"&amp;TEXT(ROW()-5,"000"))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21" t="n"/>
      <c r="K48" s="18" t="n"/>
      <c r="L48" s="18" t="n"/>
    </row>
    <row r="49">
      <c r="A49" s="17">
        <f>IF(C49="","","BR-"&amp;TEXT(ROW()-5,"000"))</f>
        <v/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21" t="n"/>
      <c r="K49" s="18" t="n"/>
      <c r="L49" s="18" t="n"/>
    </row>
    <row r="50">
      <c r="A50" s="17">
        <f>IF(C50="","","BR-"&amp;TEXT(ROW()-5,"000"))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21" t="n"/>
      <c r="K50" s="18" t="n"/>
      <c r="L50" s="18" t="n"/>
    </row>
    <row r="51">
      <c r="A51" s="17">
        <f>IF(C51="","","BR-"&amp;TEXT(ROW()-5,"000"))</f>
        <v/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21" t="n"/>
      <c r="K51" s="18" t="n"/>
      <c r="L51" s="18" t="n"/>
    </row>
    <row r="52">
      <c r="A52" s="17">
        <f>IF(C52="","","BR-"&amp;TEXT(ROW()-5,"000"))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21" t="n"/>
      <c r="K52" s="18" t="n"/>
      <c r="L52" s="18" t="n"/>
    </row>
    <row r="53">
      <c r="A53" s="17">
        <f>IF(C53="","","BR-"&amp;TEXT(ROW()-5,"000"))</f>
        <v/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21" t="n"/>
      <c r="K53" s="18" t="n"/>
      <c r="L53" s="18" t="n"/>
    </row>
    <row r="54">
      <c r="A54" s="17">
        <f>IF(C54="","","BR-"&amp;TEXT(ROW()-5,"000"))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21" t="n"/>
      <c r="K54" s="18" t="n"/>
      <c r="L54" s="18" t="n"/>
    </row>
    <row r="55">
      <c r="A55" s="17">
        <f>IF(C55="","","BR-"&amp;TEXT(ROW()-5,"000"))</f>
        <v/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21" t="n"/>
      <c r="K55" s="18" t="n"/>
      <c r="L55" s="18" t="n"/>
    </row>
    <row r="56">
      <c r="A56" s="17">
        <f>IF(C56="","","BR-"&amp;TEXT(ROW()-5,"000"))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21" t="n"/>
      <c r="K56" s="18" t="n"/>
      <c r="L56" s="18" t="n"/>
    </row>
    <row r="57">
      <c r="A57" s="17">
        <f>IF(C57="","","BR-"&amp;TEXT(ROW()-5,"000"))</f>
        <v/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21" t="n"/>
      <c r="K57" s="18" t="n"/>
      <c r="L57" s="18" t="n"/>
    </row>
    <row r="58">
      <c r="A58" s="17">
        <f>IF(C58="","","BR-"&amp;TEXT(ROW()-5,"000"))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21" t="n"/>
      <c r="K58" s="18" t="n"/>
      <c r="L58" s="18" t="n"/>
    </row>
    <row r="59">
      <c r="A59" s="17">
        <f>IF(C59="","","BR-"&amp;TEXT(ROW()-5,"000"))</f>
        <v/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21" t="n"/>
      <c r="K59" s="18" t="n"/>
      <c r="L59" s="18" t="n"/>
    </row>
    <row r="60">
      <c r="A60" s="17">
        <f>IF(C60="","","BR-"&amp;TEXT(ROW()-5,"000"))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21" t="n"/>
      <c r="K60" s="18" t="n"/>
      <c r="L60" s="18" t="n"/>
    </row>
    <row r="61">
      <c r="A61" s="17">
        <f>IF(C61="","","BR-"&amp;TEXT(ROW()-5,"000"))</f>
        <v/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21" t="n"/>
      <c r="K61" s="18" t="n"/>
      <c r="L61" s="18" t="n"/>
    </row>
    <row r="62">
      <c r="A62" s="17">
        <f>IF(C62="","","BR-"&amp;TEXT(ROW()-5,"000"))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21" t="n"/>
      <c r="K62" s="18" t="n"/>
      <c r="L62" s="18" t="n"/>
    </row>
    <row r="63">
      <c r="A63" s="17">
        <f>IF(C63="","","BR-"&amp;TEXT(ROW()-5,"000"))</f>
        <v/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21" t="n"/>
      <c r="K63" s="18" t="n"/>
      <c r="L63" s="18" t="n"/>
    </row>
    <row r="64">
      <c r="A64" s="17">
        <f>IF(C64="","","BR-"&amp;TEXT(ROW()-5,"000"))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21" t="n"/>
      <c r="K64" s="18" t="n"/>
      <c r="L64" s="18" t="n"/>
    </row>
    <row r="65">
      <c r="A65" s="17">
        <f>IF(C65="","","BR-"&amp;TEXT(ROW()-5,"000"))</f>
        <v/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21" t="n"/>
      <c r="K65" s="18" t="n"/>
      <c r="L65" s="18" t="n"/>
    </row>
    <row r="66">
      <c r="A66" s="17">
        <f>IF(C66="","","BR-"&amp;TEXT(ROW()-5,"000"))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21" t="n"/>
      <c r="K66" s="18" t="n"/>
      <c r="L66" s="18" t="n"/>
    </row>
  </sheetData>
  <mergeCells count="2">
    <mergeCell ref="B2:L2"/>
    <mergeCell ref="B1:L1"/>
  </mergeCells>
  <dataValidations count="4">
    <dataValidation sqref="B7:B66" showDropDown="0" showInputMessage="0" showErrorMessage="1" allowBlank="1" errorTitle="Pick from the list" error="Choose a value from the dropdown, or add it to the list first." type="list">
      <formula1>=Area</formula1>
    </dataValidation>
    <dataValidation sqref="F7:F66" showDropDown="0" showInputMessage="0" showErrorMessage="1" allowBlank="1" errorTitle="Pick from the list" error="Choose a value from the dropdown, or add it to the list first." type="list">
      <formula1>=Priority</formula1>
    </dataValidation>
    <dataValidation sqref="K7:K66" showDropDown="0" showInputMessage="0" showErrorMessage="1" allowBlank="1" errorTitle="Pick from the list" error="Choose a value from the dropdown, or add it to the list first." type="list">
      <formula1>=ReqStatus</formula1>
    </dataValidation>
    <dataValidation sqref="J7:J66" showDropDown="0" showInputMessage="0" showErrorMessage="1" allowBlank="1" error="Enter a date (dd/mm/yyyy)." type="date" operator="greaterThan">
      <formula1>DATE(2026,1,1)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24638"/>
    <outlinePr summaryBelow="1" summaryRight="1"/>
    <pageSetUpPr/>
  </sheetPr>
  <dimension ref="A1:AA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0" customWidth="1" min="4" max="4"/>
    <col width="14" customWidth="1" min="5" max="5"/>
    <col width="30" customWidth="1" min="6" max="6"/>
    <col width="30" customWidth="1" min="7" max="7"/>
    <col width="22" customWidth="1" min="8" max="8"/>
    <col width="9" customWidth="1" min="9" max="9"/>
    <col width="15" customWidth="1" min="10" max="10"/>
    <col width="26" customWidth="1" min="11" max="11"/>
    <col width="13" customWidth="1" min="12" max="12"/>
    <col width="22" customWidth="1" min="13" max="13"/>
    <col width="26" customWidth="1" min="14" max="14"/>
    <col width="16" customWidth="1" min="15" max="15"/>
    <col width="22" customWidth="1" min="16" max="16"/>
    <col width="26" customWidth="1" min="17" max="17"/>
    <col width="16" customWidth="1" min="18" max="18"/>
    <col width="16" customWidth="1" min="19" max="19"/>
    <col width="22" customWidth="1" min="20" max="20"/>
    <col width="26" customWidth="1" min="21" max="21"/>
    <col width="16" customWidth="1" min="22" max="22"/>
    <col width="16" customWidth="1" min="23" max="23"/>
    <col width="22" customWidth="1" min="24" max="24"/>
    <col width="26" customWidth="1" min="25" max="25"/>
    <col width="16" customWidth="1" min="26" max="26"/>
    <col width="30" customWidth="1" min="27" max="27"/>
  </cols>
  <sheetData>
    <row r="1" ht="44" customHeight="1">
      <c r="B1" s="1" t="inlineStr">
        <is>
          <t>Service Levels (SLA) and Escalation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22" customHeight="1">
      <c r="B2" s="3" t="inlineStr">
        <is>
          <t>One row per SLA level - add a row for each category or severity that needs its own target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4">
      <c r="A4" s="13" t="inlineStr">
        <is>
          <t>Escalation timing is after the breach, in the same unit as the target (e.g. 1 = one working day after the target is missed). Groups come from the 'Groups &amp; Contacts' sheet; add a personal email only if someone outside a group must be told.</t>
        </is>
      </c>
    </row>
    <row r="5" ht="34" customHeight="1">
      <c r="A5" s="14" t="inlineStr">
        <is>
          <t>SLA ID</t>
        </is>
      </c>
      <c r="B5" s="14" t="inlineStr">
        <is>
          <t>SLA name</t>
        </is>
      </c>
      <c r="C5" s="14" t="inlineStr">
        <is>
          <t>Stage measured</t>
        </is>
      </c>
      <c r="D5" s="14" t="inlineStr">
        <is>
          <t>Applies to report category</t>
        </is>
      </c>
      <c r="E5" s="14" t="inlineStr">
        <is>
          <t>Severity</t>
        </is>
      </c>
      <c r="F5" s="14" t="inlineStr">
        <is>
          <t>Clock starts when</t>
        </is>
      </c>
      <c r="G5" s="14" t="inlineStr">
        <is>
          <t>Clock stops when</t>
        </is>
      </c>
      <c r="H5" s="14" t="inlineStr">
        <is>
          <t>Clock pauses when</t>
        </is>
      </c>
      <c r="I5" s="14" t="inlineStr">
        <is>
          <t>Target</t>
        </is>
      </c>
      <c r="J5" s="14" t="inlineStr">
        <is>
          <t>Unit</t>
        </is>
      </c>
      <c r="K5" s="14" t="inlineStr">
        <is>
          <t>Calendar</t>
        </is>
      </c>
      <c r="L5" s="14" t="inlineStr">
        <is>
          <t>Warning at (% of target)</t>
        </is>
      </c>
      <c r="M5" s="14" t="inlineStr">
        <is>
          <t>Warning - group</t>
        </is>
      </c>
      <c r="N5" s="14" t="inlineStr">
        <is>
          <t>Warning - email</t>
        </is>
      </c>
      <c r="O5" s="14" t="inlineStr">
        <is>
          <t>Escalation L1 - after breach</t>
        </is>
      </c>
      <c r="P5" s="14" t="inlineStr">
        <is>
          <t>L1 - group</t>
        </is>
      </c>
      <c r="Q5" s="14" t="inlineStr">
        <is>
          <t>L1 - email</t>
        </is>
      </c>
      <c r="R5" s="14" t="inlineStr">
        <is>
          <t>L1 - channel</t>
        </is>
      </c>
      <c r="S5" s="14" t="inlineStr">
        <is>
          <t>Escalation L2 - after breach</t>
        </is>
      </c>
      <c r="T5" s="14" t="inlineStr">
        <is>
          <t>L2 - group</t>
        </is>
      </c>
      <c r="U5" s="14" t="inlineStr">
        <is>
          <t>L2 - email</t>
        </is>
      </c>
      <c r="V5" s="14" t="inlineStr">
        <is>
          <t>L2 - channel</t>
        </is>
      </c>
      <c r="W5" s="14" t="inlineStr">
        <is>
          <t>Escalation L3 - after breach</t>
        </is>
      </c>
      <c r="X5" s="14" t="inlineStr">
        <is>
          <t>L3 - group</t>
        </is>
      </c>
      <c r="Y5" s="14" t="inlineStr">
        <is>
          <t>L3 - email</t>
        </is>
      </c>
      <c r="Z5" s="14" t="inlineStr">
        <is>
          <t>L3 - channel</t>
        </is>
      </c>
      <c r="AA5" s="14" t="inlineStr">
        <is>
          <t>Notes</t>
        </is>
      </c>
    </row>
    <row r="6">
      <c r="A6" s="15" t="inlineStr">
        <is>
          <t>SLA-01</t>
        </is>
      </c>
      <c r="B6" s="15" t="inlineStr">
        <is>
          <t>Time to Compliance Decision</t>
        </is>
      </c>
      <c r="C6" s="15" t="inlineStr">
        <is>
          <t>Compliance Decision</t>
        </is>
      </c>
      <c r="D6" s="15" t="inlineStr">
        <is>
          <t>All categories</t>
        </is>
      </c>
      <c r="E6" s="15" t="inlineStr">
        <is>
          <t>All severities</t>
        </is>
      </c>
      <c r="F6" s="15" t="inlineStr">
        <is>
          <t>Report created, or returned to Back to Compliance</t>
        </is>
      </c>
      <c r="G6" s="15" t="inlineStr">
        <is>
          <t>Under Investigation or Rejected by Compliance</t>
        </is>
      </c>
      <c r="H6" s="15" t="inlineStr">
        <is>
          <t>Never</t>
        </is>
      </c>
      <c r="I6" s="15" t="n">
        <v>2</v>
      </c>
      <c r="J6" s="15" t="inlineStr">
        <is>
          <t>Working days</t>
        </is>
      </c>
      <c r="K6" s="15" t="inlineStr">
        <is>
          <t>ERC working week (Sun-Thu 08:00-16:00)</t>
        </is>
      </c>
      <c r="L6" s="22" t="n">
        <v>0.75</v>
      </c>
      <c r="M6" s="15" t="inlineStr">
        <is>
          <t>GRC-Compliance</t>
        </is>
      </c>
      <c r="N6" s="15" t="inlineStr"/>
      <c r="O6" s="15" t="n">
        <v>0</v>
      </c>
      <c r="P6" s="15" t="inlineStr">
        <is>
          <t>HO-Compliance</t>
        </is>
      </c>
      <c r="Q6" s="15" t="inlineStr">
        <is>
          <t>doaamokhtar@gmail.com</t>
        </is>
      </c>
      <c r="R6" s="15" t="inlineStr">
        <is>
          <t>Email</t>
        </is>
      </c>
      <c r="S6" s="15" t="n">
        <v>1</v>
      </c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>
        <is>
          <t>Today: L1 only, on breach. L1 email is a placeholder until the real Head of Compliance is named.</t>
        </is>
      </c>
    </row>
    <row r="7">
      <c r="A7" s="17">
        <f>IF(B7="","","SLA-"&amp;TEXT(ROW()-5,"00"))</f>
        <v/>
      </c>
      <c r="B7" s="23" t="inlineStr">
        <is>
          <t>Time to Investigation Decision</t>
        </is>
      </c>
      <c r="C7" s="23" t="inlineStr">
        <is>
          <t>Investigation Decision</t>
        </is>
      </c>
      <c r="D7" s="23" t="inlineStr">
        <is>
          <t>All categories</t>
        </is>
      </c>
      <c r="E7" s="23" t="inlineStr">
        <is>
          <t>All severities</t>
        </is>
      </c>
      <c r="F7" s="23" t="inlineStr">
        <is>
          <t>Report enters Under Investigation</t>
        </is>
      </c>
      <c r="G7" s="23" t="inlineStr">
        <is>
          <t>Investigation Approved or Back to Compliance</t>
        </is>
      </c>
      <c r="H7" s="23" t="inlineStr">
        <is>
          <t>Never</t>
        </is>
      </c>
      <c r="I7" s="23" t="n">
        <v>2</v>
      </c>
      <c r="J7" s="23" t="inlineStr">
        <is>
          <t>Working days</t>
        </is>
      </c>
      <c r="K7" s="23" t="inlineStr">
        <is>
          <t>ERC working week (Sun-Thu 08:00-16:00)</t>
        </is>
      </c>
      <c r="L7" s="24" t="n"/>
      <c r="M7" s="23" t="inlineStr"/>
      <c r="N7" s="23" t="inlineStr"/>
      <c r="O7" s="23" t="n">
        <v>0</v>
      </c>
      <c r="P7" s="23" t="inlineStr">
        <is>
          <t>HO-Compliance</t>
        </is>
      </c>
      <c r="Q7" s="23" t="inlineStr">
        <is>
          <t>doaamokhtar@gmail.com</t>
        </is>
      </c>
      <c r="R7" s="23" t="inlineStr">
        <is>
          <t>Email</t>
        </is>
      </c>
      <c r="S7" s="23" t="n"/>
      <c r="T7" s="23" t="inlineStr"/>
      <c r="U7" s="23" t="inlineStr"/>
      <c r="V7" s="23" t="inlineStr"/>
      <c r="W7" s="23" t="n"/>
      <c r="X7" s="23" t="inlineStr"/>
      <c r="Y7" s="23" t="inlineStr"/>
      <c r="Z7" s="23" t="inlineStr"/>
      <c r="AA7" s="23" t="inlineStr">
        <is>
          <t>Configured in the sandbox today.</t>
        </is>
      </c>
    </row>
    <row r="8">
      <c r="A8" s="17">
        <f>IF(B8="","","SLA-"&amp;TEXT(ROW()-5,"00"))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25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</row>
    <row r="9">
      <c r="A9" s="17">
        <f>IF(B9="","","SLA-"&amp;TEXT(ROW()-5,"00"))</f>
        <v/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25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</row>
    <row r="10">
      <c r="A10" s="17">
        <f>IF(B10="","","SLA-"&amp;TEXT(ROW()-5,"00"))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25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</row>
    <row r="11">
      <c r="A11" s="17">
        <f>IF(B11="","","SLA-"&amp;TEXT(ROW()-5,"00"))</f>
        <v/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25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</row>
    <row r="12">
      <c r="A12" s="17">
        <f>IF(B12="","","SLA-"&amp;TEXT(ROW()-5,"00"))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25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</row>
    <row r="13">
      <c r="A13" s="17">
        <f>IF(B13="","","SLA-"&amp;TEXT(ROW()-5,"00"))</f>
        <v/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25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</row>
    <row r="14">
      <c r="A14" s="17">
        <f>IF(B14="","","SLA-"&amp;TEXT(ROW()-5,"00"))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25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</row>
    <row r="15">
      <c r="A15" s="17">
        <f>IF(B15="","","SLA-"&amp;TEXT(ROW()-5,"00"))</f>
        <v/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25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</row>
    <row r="16">
      <c r="A16" s="17">
        <f>IF(B16="","","SLA-"&amp;TEXT(ROW()-5,"00"))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25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</row>
    <row r="17">
      <c r="A17" s="17">
        <f>IF(B17="","","SLA-"&amp;TEXT(ROW()-5,"00"))</f>
        <v/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25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</row>
    <row r="18">
      <c r="A18" s="17">
        <f>IF(B18="","","SLA-"&amp;TEXT(ROW()-5,"00"))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25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</row>
    <row r="19">
      <c r="A19" s="17">
        <f>IF(B19="","","SLA-"&amp;TEXT(ROW()-5,"00"))</f>
        <v/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25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</row>
    <row r="20">
      <c r="A20" s="17">
        <f>IF(B20="","","SLA-"&amp;TEXT(ROW()-5,"00"))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25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</row>
    <row r="21">
      <c r="A21" s="17">
        <f>IF(B21="","","SLA-"&amp;TEXT(ROW()-5,"00"))</f>
        <v/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25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</row>
    <row r="22">
      <c r="A22" s="17">
        <f>IF(B22="","","SLA-"&amp;TEXT(ROW()-5,"00"))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25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</row>
    <row r="23">
      <c r="A23" s="17">
        <f>IF(B23="","","SLA-"&amp;TEXT(ROW()-5,"00"))</f>
        <v/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25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</row>
    <row r="24">
      <c r="A24" s="17">
        <f>IF(B24="","","SLA-"&amp;TEXT(ROW()-5,"00"))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25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</row>
    <row r="25">
      <c r="A25" s="17">
        <f>IF(B25="","","SLA-"&amp;TEXT(ROW()-5,"00"))</f>
        <v/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25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</row>
    <row r="26">
      <c r="A26" s="17">
        <f>IF(B26="","","SLA-"&amp;TEXT(ROW()-5,"00"))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25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</row>
    <row r="27">
      <c r="A27" s="17">
        <f>IF(B27="","","SLA-"&amp;TEXT(ROW()-5,"00"))</f>
        <v/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25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</row>
    <row r="28">
      <c r="A28" s="17">
        <f>IF(B28="","","SLA-"&amp;TEXT(ROW()-5,"00"))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25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</row>
    <row r="29">
      <c r="A29" s="17">
        <f>IF(B29="","","SLA-"&amp;TEXT(ROW()-5,"00"))</f>
        <v/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25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</row>
    <row r="30">
      <c r="A30" s="17">
        <f>IF(B30="","","SLA-"&amp;TEXT(ROW()-5,"00"))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25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</row>
    <row r="31">
      <c r="A31" s="17">
        <f>IF(B31="","","SLA-"&amp;TEXT(ROW()-5,"00"))</f>
        <v/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25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</row>
    <row r="32">
      <c r="A32" s="17">
        <f>IF(B32="","","SLA-"&amp;TEXT(ROW()-5,"00"))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25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</row>
    <row r="33">
      <c r="A33" s="17">
        <f>IF(B33="","","SLA-"&amp;TEXT(ROW()-5,"00"))</f>
        <v/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25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</row>
    <row r="34">
      <c r="A34" s="17">
        <f>IF(B34="","","SLA-"&amp;TEXT(ROW()-5,"00"))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25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</row>
    <row r="35">
      <c r="A35" s="17">
        <f>IF(B35="","","SLA-"&amp;TEXT(ROW()-5,"00"))</f>
        <v/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25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</row>
    <row r="36">
      <c r="A36" s="17">
        <f>IF(B36="","","SLA-"&amp;TEXT(ROW()-5,"00"))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25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</row>
    <row r="37">
      <c r="A37" s="17">
        <f>IF(B37="","","SLA-"&amp;TEXT(ROW()-5,"00"))</f>
        <v/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25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</row>
    <row r="38">
      <c r="A38" s="17">
        <f>IF(B38="","","SLA-"&amp;TEXT(ROW()-5,"00"))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25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</row>
    <row r="39">
      <c r="A39" s="17">
        <f>IF(B39="","","SLA-"&amp;TEXT(ROW()-5,"00"))</f>
        <v/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25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</row>
    <row r="40">
      <c r="A40" s="17">
        <f>IF(B40="","","SLA-"&amp;TEXT(ROW()-5,"00"))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25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</row>
    <row r="41">
      <c r="A41" s="17">
        <f>IF(B41="","","SLA-"&amp;TEXT(ROW()-5,"00"))</f>
        <v/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25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</row>
    <row r="42">
      <c r="A42" s="17">
        <f>IF(B42="","","SLA-"&amp;TEXT(ROW()-5,"00"))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25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</row>
    <row r="43">
      <c r="A43" s="17">
        <f>IF(B43="","","SLA-"&amp;TEXT(ROW()-5,"00"))</f>
        <v/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25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</row>
    <row r="44">
      <c r="A44" s="17">
        <f>IF(B44="","","SLA-"&amp;TEXT(ROW()-5,"00"))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25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</row>
    <row r="45">
      <c r="A45" s="17">
        <f>IF(B45="","","SLA-"&amp;TEXT(ROW()-5,"00"))</f>
        <v/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25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</row>
    <row r="46">
      <c r="A46" s="17">
        <f>IF(B46="","","SLA-"&amp;TEXT(ROW()-5,"00"))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25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</row>
    <row r="47">
      <c r="A47" s="17">
        <f>IF(B47="","","SLA-"&amp;TEXT(ROW()-5,"00"))</f>
        <v/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25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</row>
    <row r="48">
      <c r="A48" s="17">
        <f>IF(B48="","","SLA-"&amp;TEXT(ROW()-5,"00"))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25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</row>
    <row r="49">
      <c r="A49" s="17">
        <f>IF(B49="","","SLA-"&amp;TEXT(ROW()-5,"00"))</f>
        <v/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25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</row>
    <row r="50">
      <c r="A50" s="17">
        <f>IF(B50="","","SLA-"&amp;TEXT(ROW()-5,"00"))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25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</row>
    <row r="51">
      <c r="A51" s="17">
        <f>IF(B51="","","SLA-"&amp;TEXT(ROW()-5,"00"))</f>
        <v/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25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</row>
    <row r="52">
      <c r="A52" s="17">
        <f>IF(B52="","","SLA-"&amp;TEXT(ROW()-5,"00"))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25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</row>
    <row r="53">
      <c r="A53" s="17">
        <f>IF(B53="","","SLA-"&amp;TEXT(ROW()-5,"00"))</f>
        <v/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25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</row>
    <row r="54">
      <c r="A54" s="17">
        <f>IF(B54="","","SLA-"&amp;TEXT(ROW()-5,"00"))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25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</row>
    <row r="55">
      <c r="A55" s="17">
        <f>IF(B55="","","SLA-"&amp;TEXT(ROW()-5,"00"))</f>
        <v/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25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</row>
    <row r="56">
      <c r="A56" s="17">
        <f>IF(B56="","","SLA-"&amp;TEXT(ROW()-5,"00"))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25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</row>
    <row r="57">
      <c r="A57" s="17">
        <f>IF(B57="","","SLA-"&amp;TEXT(ROW()-5,"00"))</f>
        <v/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25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</row>
    <row r="58">
      <c r="A58" s="17">
        <f>IF(B58="","","SLA-"&amp;TEXT(ROW()-5,"00"))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25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</row>
    <row r="59">
      <c r="A59" s="17">
        <f>IF(B59="","","SLA-"&amp;TEXT(ROW()-5,"00"))</f>
        <v/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25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</row>
    <row r="60">
      <c r="A60" s="17">
        <f>IF(B60="","","SLA-"&amp;TEXT(ROW()-5,"00"))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25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</row>
    <row r="61">
      <c r="A61" s="17">
        <f>IF(B61="","","SLA-"&amp;TEXT(ROW()-5,"00"))</f>
        <v/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25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</row>
    <row r="62">
      <c r="A62" s="17">
        <f>IF(B62="","","SLA-"&amp;TEXT(ROW()-5,"00"))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25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</row>
    <row r="63">
      <c r="A63" s="17">
        <f>IF(B63="","","SLA-"&amp;TEXT(ROW()-5,"00"))</f>
        <v/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25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</row>
    <row r="64">
      <c r="A64" s="17">
        <f>IF(B64="","","SLA-"&amp;TEXT(ROW()-5,"00"))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25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</row>
    <row r="65">
      <c r="A65" s="17">
        <f>IF(B65="","","SLA-"&amp;TEXT(ROW()-5,"00"))</f>
        <v/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25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</row>
    <row r="66">
      <c r="A66" s="17">
        <f>IF(B66="","","SLA-"&amp;TEXT(ROW()-5,"00"))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25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</row>
  </sheetData>
  <mergeCells count="2">
    <mergeCell ref="B1:AA1"/>
    <mergeCell ref="B2:AA2"/>
  </mergeCells>
  <dataValidations count="18">
    <dataValidation sqref="C7:C66" showDropDown="0" showInputMessage="0" showErrorMessage="1" allowBlank="1" errorTitle="Pick from the list" error="Choose a value from the dropdown, or add it to the list first." type="list">
      <formula1>=Stage</formula1>
    </dataValidation>
    <dataValidation sqref="D7:D66" showDropDown="0" showInputMessage="0" showErrorMessage="1" allowBlank="1" errorTitle="Pick from the list" error="Choose a value from the dropdown, or add it to the list first." type="list">
      <formula1>=ReportCategory</formula1>
    </dataValidation>
    <dataValidation sqref="E7:E66" showDropDown="0" showInputMessage="0" showErrorMessage="1" allowBlank="1" errorTitle="Pick from the list" error="Choose a value from the dropdown, or add it to the list first." type="list">
      <formula1>=Severity</formula1>
    </dataValidation>
    <dataValidation sqref="I7:I66" showDropDown="0" showInputMessage="0" showErrorMessage="1" allowBlank="1" error="Enter a number greater than 0." type="decimal" operator="greaterThan">
      <formula1>0</formula1>
    </dataValidation>
    <dataValidation sqref="J7:J66" showDropDown="0" showInputMessage="0" showErrorMessage="1" allowBlank="1" errorTitle="Pick from the list" error="Choose a value from the dropdown, or add it to the list first." type="list">
      <formula1>=Unit</formula1>
    </dataValidation>
    <dataValidation sqref="K7:K66" showDropDown="0" showInputMessage="0" showErrorMessage="1" allowBlank="1" errorTitle="Pick from the list" error="Choose a value from the dropdown, or add it to the list first." type="list">
      <formula1>=Calendar</formula1>
    </dataValidation>
    <dataValidation sqref="L7:L66" showDropDown="0" showInputMessage="0" showErrorMessage="1" allowBlank="1" error="Enter a percentage between 0% and 100%." type="decimal" operator="between">
      <formula1>0</formula1>
      <formula2>1</formula2>
    </dataValidation>
    <dataValidation sqref="M7:M66" showDropDown="0" showInputMessage="0" showErrorMessage="0" allowBlank="1" type="list">
      <formula1>=GroupNames</formula1>
    </dataValidation>
    <dataValidation sqref="P7:P66" showDropDown="0" showInputMessage="0" showErrorMessage="0" allowBlank="1" type="list">
      <formula1>=GroupNames</formula1>
    </dataValidation>
    <dataValidation sqref="T7:T66" showDropDown="0" showInputMessage="0" showErrorMessage="0" allowBlank="1" type="list">
      <formula1>=GroupNames</formula1>
    </dataValidation>
    <dataValidation sqref="X7:X66" showDropDown="0" showInputMessage="0" showErrorMessage="0" allowBlank="1" type="list">
      <formula1>=GroupNames</formula1>
    </dataValidation>
    <dataValidation sqref="R7:R66" showDropDown="0" showInputMessage="0" showErrorMessage="1" allowBlank="1" errorTitle="Pick from the list" error="Choose a value from the dropdown, or add it to the list first." type="list">
      <formula1>=Channel</formula1>
    </dataValidation>
    <dataValidation sqref="V7:V66" showDropDown="0" showInputMessage="0" showErrorMessage="1" allowBlank="1" errorTitle="Pick from the list" error="Choose a value from the dropdown, or add it to the list first." type="list">
      <formula1>=Channel</formula1>
    </dataValidation>
    <dataValidation sqref="Z7:Z66" showDropDown="0" showInputMessage="0" showErrorMessage="1" allowBlank="1" errorTitle="Pick from the list" error="Choose a value from the dropdown, or add it to the list first." type="list">
      <formula1>=Channel</formula1>
    </dataValidation>
    <dataValidation sqref="N7:N66" showDropDown="0" showInputMessage="0" showErrorMessage="1" allowBlank="1" errorTitle="Email address" error="Enter a valid email address, e.g. name@erc.sa." type="custom">
      <formula1>=ISNUMBER(SEARCH("@",N7))</formula1>
    </dataValidation>
    <dataValidation sqref="Q7:Q66" showDropDown="0" showInputMessage="0" showErrorMessage="1" allowBlank="1" errorTitle="Email address" error="Enter a valid email address, e.g. name@erc.sa." type="custom">
      <formula1>=ISNUMBER(SEARCH("@",Q7))</formula1>
    </dataValidation>
    <dataValidation sqref="U7:U66" showDropDown="0" showInputMessage="0" showErrorMessage="1" allowBlank="1" errorTitle="Email address" error="Enter a valid email address, e.g. name@erc.sa." type="custom">
      <formula1>=ISNUMBER(SEARCH("@",U7))</formula1>
    </dataValidation>
    <dataValidation sqref="Y7:Y66" showDropDown="0" showInputMessage="0" showErrorMessage="1" allowBlank="1" errorTitle="Email address" error="Enter a valid email address, e.g. name@erc.sa." type="custom">
      <formula1>=ISNUMBER(SEARCH("@",Y7))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6B78E"/>
    <outlinePr summaryBelow="1" summaryRight="1"/>
    <pageSetUpPr/>
  </sheetPr>
  <dimension ref="A1:H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0" customWidth="1" min="2" max="2"/>
    <col width="26" customWidth="1" min="3" max="3"/>
    <col width="30" customWidth="1" min="4" max="4"/>
    <col width="28" customWidth="1" min="5" max="5"/>
    <col width="16" customWidth="1" min="6" max="6"/>
    <col width="16" customWidth="1" min="7" max="7"/>
    <col width="30" customWidth="1" min="8" max="8"/>
  </cols>
  <sheetData>
    <row r="1" ht="44" customHeight="1">
      <c r="B1" s="1" t="inlineStr">
        <is>
          <t>Groups and Contacts</t>
        </is>
      </c>
      <c r="C1" s="2" t="n"/>
      <c r="D1" s="2" t="n"/>
      <c r="E1" s="2" t="n"/>
      <c r="F1" s="2" t="n"/>
      <c r="G1" s="2" t="n"/>
      <c r="H1" s="2" t="n"/>
    </row>
    <row r="2" ht="22" customHeight="1">
      <c r="B2" s="3" t="inlineStr">
        <is>
          <t>One row per member - repeat the group name for each member</t>
        </is>
      </c>
      <c r="C2" s="2" t="n"/>
      <c r="D2" s="2" t="n"/>
      <c r="E2" s="2" t="n"/>
      <c r="F2" s="2" t="n"/>
      <c r="G2" s="2" t="n"/>
      <c r="H2" s="2" t="n"/>
    </row>
    <row r="4">
      <c r="A4" s="13" t="inlineStr">
        <is>
          <t>A person should belong to one investigation group only, so they cannot review the same report twice.</t>
        </is>
      </c>
    </row>
    <row r="5" ht="34" customHeight="1">
      <c r="A5" s="14" t="inlineStr">
        <is>
          <t>Group</t>
        </is>
      </c>
      <c r="B5" s="14" t="inlineStr">
        <is>
          <t>Role in the process</t>
        </is>
      </c>
      <c r="C5" s="14" t="inlineStr">
        <is>
          <t>Member name</t>
        </is>
      </c>
      <c r="D5" s="14" t="inlineStr">
        <is>
          <t>Member email</t>
        </is>
      </c>
      <c r="E5" s="14" t="inlineStr">
        <is>
          <t>Job title / department</t>
        </is>
      </c>
      <c r="F5" s="14" t="inlineStr">
        <is>
          <t>Needs Jira agent licence?</t>
        </is>
      </c>
      <c r="G5" s="14" t="inlineStr">
        <is>
          <t>Also receives escalations?</t>
        </is>
      </c>
      <c r="H5" s="14" t="inlineStr">
        <is>
          <t>Notes</t>
        </is>
      </c>
    </row>
    <row r="6">
      <c r="A6" s="15" t="inlineStr">
        <is>
          <t>GRC-Compliance</t>
        </is>
      </c>
      <c r="B6" s="15" t="inlineStr">
        <is>
          <t>Compliance Manager</t>
        </is>
      </c>
      <c r="C6" s="15" t="inlineStr">
        <is>
          <t>Fotoun Kurdi</t>
        </is>
      </c>
      <c r="D6" s="15" t="inlineStr">
        <is>
          <t>f.kurdi@erc.sa</t>
        </is>
      </c>
      <c r="E6" s="15" t="inlineStr">
        <is>
          <t>GRC</t>
        </is>
      </c>
      <c r="F6" s="15" t="inlineStr">
        <is>
          <t>Yes</t>
        </is>
      </c>
      <c r="G6" s="15" t="inlineStr">
        <is>
          <t>No</t>
        </is>
      </c>
      <c r="H6" s="15" t="inlineStr">
        <is>
          <t>Example only.</t>
        </is>
      </c>
    </row>
    <row r="7">
      <c r="A7" s="18" t="inlineStr">
        <is>
          <t>GRC-Compliance</t>
        </is>
      </c>
      <c r="B7" s="18" t="inlineStr">
        <is>
          <t>Compliance Manager: classifies new reports, approves or rejects them</t>
        </is>
      </c>
      <c r="C7" s="18" t="n"/>
      <c r="D7" s="18" t="n"/>
      <c r="E7" s="18" t="n"/>
      <c r="F7" s="18" t="n"/>
      <c r="G7" s="18" t="n"/>
      <c r="H7" s="18" t="n"/>
    </row>
    <row r="8">
      <c r="A8" s="18" t="inlineStr">
        <is>
          <t>Internal Audit</t>
        </is>
      </c>
      <c r="B8" s="18" t="inlineStr">
        <is>
          <t>Investigates fraud, bribery and procurement reports</t>
        </is>
      </c>
      <c r="C8" s="18" t="n"/>
      <c r="D8" s="18" t="n"/>
      <c r="E8" s="18" t="n"/>
      <c r="F8" s="18" t="n"/>
      <c r="G8" s="18" t="n"/>
      <c r="H8" s="18" t="n"/>
    </row>
    <row r="9">
      <c r="A9" s="18" t="inlineStr">
        <is>
          <t>Human Resources</t>
        </is>
      </c>
      <c r="B9" s="18" t="inlineStr">
        <is>
          <t>Investigates harassment; first approval on retaliation reports</t>
        </is>
      </c>
      <c r="C9" s="18" t="n"/>
      <c r="D9" s="18" t="n"/>
      <c r="E9" s="18" t="n"/>
      <c r="F9" s="18" t="n"/>
      <c r="G9" s="18" t="n"/>
      <c r="H9" s="18" t="n"/>
    </row>
    <row r="10">
      <c r="A10" s="18" t="inlineStr">
        <is>
          <t>Employee Relations</t>
        </is>
      </c>
      <c r="B10" s="18" t="inlineStr">
        <is>
          <t>Second approval on retaliation reports</t>
        </is>
      </c>
      <c r="C10" s="18" t="n"/>
      <c r="D10" s="18" t="n"/>
      <c r="E10" s="18" t="n"/>
      <c r="F10" s="18" t="n"/>
      <c r="G10" s="18" t="n"/>
      <c r="H10" s="18" t="n"/>
    </row>
    <row r="11">
      <c r="A11" s="18" t="inlineStr">
        <is>
          <t>Health and Safety Representative</t>
        </is>
      </c>
      <c r="B11" s="18" t="inlineStr">
        <is>
          <t>Investigates health, safety, environmental and heritage reports</t>
        </is>
      </c>
      <c r="C11" s="18" t="n"/>
      <c r="D11" s="18" t="n"/>
      <c r="E11" s="18" t="n"/>
      <c r="F11" s="18" t="n"/>
      <c r="G11" s="18" t="n"/>
      <c r="H11" s="18" t="n"/>
    </row>
    <row r="12">
      <c r="A12" s="18" t="inlineStr">
        <is>
          <t>Information Security</t>
        </is>
      </c>
      <c r="B12" s="18" t="inlineStr">
        <is>
          <t>Investigates information security and data protection reports</t>
        </is>
      </c>
      <c r="C12" s="18" t="n"/>
      <c r="D12" s="18" t="n"/>
      <c r="E12" s="18" t="n"/>
      <c r="F12" s="18" t="n"/>
      <c r="G12" s="18" t="n"/>
      <c r="H12" s="18" t="n"/>
    </row>
    <row r="13">
      <c r="A13" s="18" t="inlineStr">
        <is>
          <t>HO-Compliance</t>
        </is>
      </c>
      <c r="B13" s="18" t="inlineStr">
        <is>
          <t>Head of Compliance: receives SLA escalations</t>
        </is>
      </c>
      <c r="C13" s="18" t="n"/>
      <c r="D13" s="18" t="n"/>
      <c r="E13" s="18" t="n"/>
      <c r="F13" s="18" t="n"/>
      <c r="G13" s="18" t="n"/>
      <c r="H13" s="18" t="n"/>
    </row>
    <row r="14">
      <c r="A14" s="18" t="inlineStr">
        <is>
          <t>FollowUP TKT</t>
        </is>
      </c>
      <c r="B14" s="18" t="inlineStr">
        <is>
          <t>Oversight: sees all reports</t>
        </is>
      </c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</sheetData>
  <mergeCells count="2">
    <mergeCell ref="B1:H1"/>
    <mergeCell ref="B2:H2"/>
  </mergeCells>
  <dataValidations count="4">
    <dataValidation sqref="A7:A66" showDropDown="0" showInputMessage="0" showErrorMessage="0" allowBlank="1" type="list">
      <formula1>=GroupNames</formula1>
    </dataValidation>
    <dataValidation sqref="F7:F66" showDropDown="0" showInputMessage="0" showErrorMessage="1" allowBlank="1" errorTitle="Pick from the list" error="Choose a value from the dropdown, or add it to the list first." type="list">
      <formula1>=YesNo</formula1>
    </dataValidation>
    <dataValidation sqref="G7:G66" showDropDown="0" showInputMessage="0" showErrorMessage="1" allowBlank="1" errorTitle="Pick from the list" error="Choose a value from the dropdown, or add it to the list first." type="list">
      <formula1>=YesNo</formula1>
    </dataValidation>
    <dataValidation sqref="D7:D66" showDropDown="0" showInputMessage="0" showErrorMessage="1" allowBlank="1" errorTitle="Email address" error="Enter a valid email address, e.g. name@erc.sa." type="custom">
      <formula1>=ISNUMBER(SEARCH("@",D7))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90" workbookViewId="0">
      <selection activeCell="A1" sqref="A1"/>
    </sheetView>
  </sheetViews>
  <sheetFormatPr baseColWidth="8" defaultRowHeight="15"/>
  <sheetData>
    <row r="1">
      <c r="A1" s="26" t="inlineStr">
        <is>
          <t>Area</t>
        </is>
      </c>
      <c r="B1" s="26" t="inlineStr">
        <is>
          <t>Priority</t>
        </is>
      </c>
      <c r="C1" s="26" t="inlineStr">
        <is>
          <t>ReqStatus</t>
        </is>
      </c>
      <c r="D1" s="26" t="inlineStr">
        <is>
          <t>ReportCategory</t>
        </is>
      </c>
      <c r="E1" s="26" t="inlineStr">
        <is>
          <t>Severity</t>
        </is>
      </c>
      <c r="F1" s="26" t="inlineStr">
        <is>
          <t>Stage</t>
        </is>
      </c>
      <c r="G1" s="26" t="inlineStr">
        <is>
          <t>Unit</t>
        </is>
      </c>
      <c r="H1" s="26" t="inlineStr">
        <is>
          <t>Calendar</t>
        </is>
      </c>
      <c r="I1" s="26" t="inlineStr">
        <is>
          <t>Channel</t>
        </is>
      </c>
      <c r="J1" s="26" t="inlineStr">
        <is>
          <t>YesNo</t>
        </is>
      </c>
      <c r="K1" s="26" t="inlineStr">
        <is>
          <t>Requesters</t>
        </is>
      </c>
      <c r="L1" s="26" t="inlineStr">
        <is>
          <t>Approvers</t>
        </is>
      </c>
      <c r="M1" s="26" t="inlineStr">
        <is>
          <t>FilledBy</t>
        </is>
      </c>
      <c r="N1" s="26" t="inlineStr">
        <is>
          <t>FieldType</t>
        </is>
      </c>
      <c r="O1" s="26" t="inlineStr">
        <is>
          <t>JiraField</t>
        </is>
      </c>
      <c r="P1" s="26" t="inlineStr">
        <is>
          <t>GroupNames</t>
        </is>
      </c>
    </row>
    <row r="2">
      <c r="A2" t="inlineStr">
        <is>
          <t>Intake / Portal</t>
        </is>
      </c>
      <c r="B2" t="inlineStr">
        <is>
          <t>Must have</t>
        </is>
      </c>
      <c r="C2" t="inlineStr">
        <is>
          <t>New</t>
        </is>
      </c>
      <c r="D2" t="inlineStr">
        <is>
          <t>All categories</t>
        </is>
      </c>
      <c r="E2" t="inlineStr">
        <is>
          <t>All severities</t>
        </is>
      </c>
      <c r="F2" t="inlineStr">
        <is>
          <t>Compliance Decision</t>
        </is>
      </c>
      <c r="G2" t="inlineStr">
        <is>
          <t>Working hours</t>
        </is>
      </c>
      <c r="H2" t="inlineStr">
        <is>
          <t>ERC working week (Sun-Thu 08:00-16:00)</t>
        </is>
      </c>
      <c r="I2" t="inlineStr">
        <is>
          <t>Email</t>
        </is>
      </c>
      <c r="J2" t="inlineStr">
        <is>
          <t>Yes</t>
        </is>
      </c>
      <c r="K2" t="inlineStr">
        <is>
          <t>All ERC employees</t>
        </is>
      </c>
      <c r="L2" t="inlineStr">
        <is>
          <t>None</t>
        </is>
      </c>
      <c r="M2" t="inlineStr">
        <is>
          <t>Requester (portal)</t>
        </is>
      </c>
      <c r="N2" t="inlineStr">
        <is>
          <t>Single-line text</t>
        </is>
      </c>
      <c r="O2" t="inlineStr">
        <is>
          <t>Short text (Text Field - single line)</t>
        </is>
      </c>
      <c r="P2" t="inlineStr">
        <is>
          <t>GRC-Compliance</t>
        </is>
      </c>
    </row>
    <row r="3">
      <c r="A3" t="inlineStr">
        <is>
          <t>Classification</t>
        </is>
      </c>
      <c r="B3" t="inlineStr">
        <is>
          <t>Should have</t>
        </is>
      </c>
      <c r="C3" t="inlineStr">
        <is>
          <t>In review</t>
        </is>
      </c>
      <c r="D3" t="inlineStr">
        <is>
          <t>Fraud, Theft, Embezzlement or Asset Misappropriation</t>
        </is>
      </c>
      <c r="E3" t="inlineStr">
        <is>
          <t>Critical</t>
        </is>
      </c>
      <c r="F3" t="inlineStr">
        <is>
          <t>Investigation Decision</t>
        </is>
      </c>
      <c r="G3" t="inlineStr">
        <is>
          <t>Working days</t>
        </is>
      </c>
      <c r="H3" t="inlineStr">
        <is>
          <t>24/7</t>
        </is>
      </c>
      <c r="I3" t="inlineStr">
        <is>
          <t>Email + Microsoft Teams</t>
        </is>
      </c>
      <c r="J3" t="inlineStr">
        <is>
          <t>No</t>
        </is>
      </c>
      <c r="K3" t="inlineStr">
        <is>
          <t>Specific departments (list in Notes)</t>
        </is>
      </c>
      <c r="L3" t="inlineStr">
        <is>
          <t>Requester's Line Manager</t>
        </is>
      </c>
      <c r="M3" t="inlineStr">
        <is>
          <t>Internal team only</t>
        </is>
      </c>
      <c r="N3" t="inlineStr">
        <is>
          <t>Multi-line text</t>
        </is>
      </c>
      <c r="O3" t="inlineStr">
        <is>
          <t>Paragraph (Text Field - multi-line)</t>
        </is>
      </c>
      <c r="P3" t="inlineStr">
        <is>
          <t>Internal Audit</t>
        </is>
      </c>
    </row>
    <row r="4">
      <c r="A4" t="inlineStr">
        <is>
          <t>Routing</t>
        </is>
      </c>
      <c r="B4" t="inlineStr">
        <is>
          <t>Could have</t>
        </is>
      </c>
      <c r="C4" t="inlineStr">
        <is>
          <t>Approved</t>
        </is>
      </c>
      <c r="D4" t="inlineStr">
        <is>
          <t>Bribery, Corruption, Kickbacks or Trading in Influence</t>
        </is>
      </c>
      <c r="E4" t="inlineStr">
        <is>
          <t>High</t>
        </is>
      </c>
      <c r="F4" t="inlineStr">
        <is>
          <t>Employee Relations Approval (Retaliation)</t>
        </is>
      </c>
      <c r="G4" t="inlineStr">
        <is>
          <t>Calendar hours</t>
        </is>
      </c>
      <c r="I4" t="inlineStr">
        <is>
          <t>Microsoft Teams</t>
        </is>
      </c>
      <c r="K4" t="inlineStr">
        <is>
          <t>Specific group (name in Notes)</t>
        </is>
      </c>
      <c r="L4" t="inlineStr">
        <is>
          <t>Requester's Department Head</t>
        </is>
      </c>
      <c r="N4" t="inlineStr">
        <is>
          <t>Number</t>
        </is>
      </c>
      <c r="O4" t="inlineStr">
        <is>
          <t>Number Field</t>
        </is>
      </c>
      <c r="P4" t="inlineStr">
        <is>
          <t>Human Resources</t>
        </is>
      </c>
    </row>
    <row r="5">
      <c r="A5" t="inlineStr">
        <is>
          <t>Investigation</t>
        </is>
      </c>
      <c r="B5" t="inlineStr">
        <is>
          <t>Won't have (now)</t>
        </is>
      </c>
      <c r="C5" t="inlineStr">
        <is>
          <t>Rejected</t>
        </is>
      </c>
      <c r="D5" t="inlineStr">
        <is>
          <t>Money Laundering, Terrorist Financing or Sanctions Concerns</t>
        </is>
      </c>
      <c r="E5" t="inlineStr">
        <is>
          <t>Medium</t>
        </is>
      </c>
      <c r="F5" t="inlineStr">
        <is>
          <t>First contact with reporter</t>
        </is>
      </c>
      <c r="G5" t="inlineStr">
        <is>
          <t>Calendar days</t>
        </is>
      </c>
      <c r="I5" t="inlineStr">
        <is>
          <t>SMS</t>
        </is>
      </c>
      <c r="K5" t="inlineStr">
        <is>
          <t>Anyone - no sign-in (anonymous)</t>
        </is>
      </c>
      <c r="L5" t="inlineStr">
        <is>
          <t>Specific group (name in Notes)</t>
        </is>
      </c>
      <c r="N5" t="inlineStr">
        <is>
          <t>Date</t>
        </is>
      </c>
      <c r="O5" t="inlineStr">
        <is>
          <t>Date Picker</t>
        </is>
      </c>
      <c r="P5" t="inlineStr">
        <is>
          <t>Employee Relations</t>
        </is>
      </c>
    </row>
    <row r="6">
      <c r="A6" t="inlineStr">
        <is>
          <t>Notifications</t>
        </is>
      </c>
      <c r="C6" t="inlineStr">
        <is>
          <t>Implemented</t>
        </is>
      </c>
      <c r="D6" t="inlineStr">
        <is>
          <t>Procurement Manipulation, Collusion, Bid Rigging or Conflict of Interest</t>
        </is>
      </c>
      <c r="E6" t="inlineStr">
        <is>
          <t>Low</t>
        </is>
      </c>
      <c r="F6" t="inlineStr">
        <is>
          <t>Case closure</t>
        </is>
      </c>
      <c r="K6" t="inlineStr">
        <is>
          <t>External customers / partners</t>
        </is>
      </c>
      <c r="L6" t="inlineStr">
        <is>
          <t>Specific person (name in Notes)</t>
        </is>
      </c>
      <c r="N6" t="inlineStr">
        <is>
          <t>Date and time</t>
        </is>
      </c>
      <c r="O6" t="inlineStr">
        <is>
          <t>Date Time Picker</t>
        </is>
      </c>
      <c r="P6" t="inlineStr">
        <is>
          <t>Health and Safety Representative</t>
        </is>
      </c>
    </row>
    <row r="7">
      <c r="A7" t="inlineStr">
        <is>
          <t>SLA &amp; Escalation</t>
        </is>
      </c>
      <c r="D7" t="inlineStr">
        <is>
          <t>Harassment, Discrimination, Bullying or Abuse of Authority</t>
        </is>
      </c>
      <c r="F7" t="inlineStr">
        <is>
          <t>Other</t>
        </is>
      </c>
      <c r="N7" t="inlineStr">
        <is>
          <t>Dropdown - one choice</t>
        </is>
      </c>
      <c r="O7" t="inlineStr">
        <is>
          <t>Select List (single choice)</t>
        </is>
      </c>
      <c r="P7" t="inlineStr">
        <is>
          <t>Information Security</t>
        </is>
      </c>
    </row>
    <row r="8">
      <c r="A8" t="inlineStr">
        <is>
          <t>Reporting</t>
        </is>
      </c>
      <c r="D8" t="inlineStr">
        <is>
          <t>Health, Safety, Environmental or Heritage-Protection Breach</t>
        </is>
      </c>
      <c r="N8" t="inlineStr">
        <is>
          <t>Dropdown - many choices</t>
        </is>
      </c>
      <c r="O8" t="inlineStr">
        <is>
          <t>Select List (multiple choices)</t>
        </is>
      </c>
      <c r="P8" t="inlineStr">
        <is>
          <t>HO-Compliance</t>
        </is>
      </c>
    </row>
    <row r="9">
      <c r="A9" t="inlineStr">
        <is>
          <t>Security &amp; Access</t>
        </is>
      </c>
      <c r="D9" t="inlineStr">
        <is>
          <t>Information Security, Data Protection or Systems Misuse</t>
        </is>
      </c>
      <c r="N9" t="inlineStr">
        <is>
          <t>Checkboxes</t>
        </is>
      </c>
      <c r="O9" t="inlineStr">
        <is>
          <t>Checkboxes</t>
        </is>
      </c>
      <c r="P9" t="inlineStr">
        <is>
          <t>FollowUP TKT</t>
        </is>
      </c>
    </row>
    <row r="10">
      <c r="A10" t="inlineStr">
        <is>
          <t>Data &amp; Retention</t>
        </is>
      </c>
      <c r="D10" t="inlineStr">
        <is>
          <t>Other Regulatory or License Compliance Breach</t>
        </is>
      </c>
      <c r="N10" t="inlineStr">
        <is>
          <t>Yes / No</t>
        </is>
      </c>
      <c r="O10" t="inlineStr">
        <is>
          <t>Radio Buttons (Yes, No)</t>
        </is>
      </c>
    </row>
    <row r="11">
      <c r="A11" t="inlineStr">
        <is>
          <t>Other</t>
        </is>
      </c>
      <c r="D11" t="inlineStr">
        <is>
          <t>Retaliation Against a Reporter or Witness</t>
        </is>
      </c>
      <c r="N11" t="inlineStr">
        <is>
          <t>Person (pick a user)</t>
        </is>
      </c>
      <c r="O11" t="inlineStr">
        <is>
          <t>User Picker (single user)</t>
        </is>
      </c>
    </row>
    <row r="12">
      <c r="D12" t="inlineStr">
        <is>
          <t>Other</t>
        </is>
      </c>
      <c r="N12" t="inlineStr">
        <is>
          <t>Email address</t>
        </is>
      </c>
      <c r="O12" t="inlineStr">
        <is>
          <t>Short text + email validation (Form)</t>
        </is>
      </c>
    </row>
    <row r="13">
      <c r="N13" t="inlineStr">
        <is>
          <t>Phone number</t>
        </is>
      </c>
      <c r="O13" t="inlineStr">
        <is>
          <t>Short text (Form)</t>
        </is>
      </c>
    </row>
    <row r="14">
      <c r="N14" t="inlineStr">
        <is>
          <t>Attachment</t>
        </is>
      </c>
      <c r="O14" t="inlineStr">
        <is>
          <t>System: Attachment</t>
        </is>
      </c>
    </row>
    <row r="15">
      <c r="N15" t="inlineStr">
        <is>
          <t>Automatic - requester name</t>
        </is>
      </c>
      <c r="O15" t="inlineStr">
        <is>
          <t>System: Reporter - no field needed</t>
        </is>
      </c>
    </row>
    <row r="16">
      <c r="N16" t="inlineStr">
        <is>
          <t>Automatic - date submitted</t>
        </is>
      </c>
      <c r="O16" t="inlineStr">
        <is>
          <t>System: Created - no field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2026-10-19T18:17:26Z</dcterms:created>
  <dcterms:modified xmlns:dcterms="http://purl.org/dc/terms/" xmlns:xsi="http://www.w3.org/2001/XMLSchema-instance" xsi:type="dcterms:W3CDTF">2026-10-19T18:17:26Z</dcterms:modified>
</cp:coreProperties>
</file>