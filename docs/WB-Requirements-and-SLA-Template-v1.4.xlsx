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76" windowWidth="28476" windowHeight="13956"/>
  </bookViews>
  <sheets>
    <sheet name="Instructions" sheetId="1" r:id="rId1"/>
    <sheet name="Service Catalog" sheetId="2" r:id="rId2"/>
    <sheet name="Request Form Fields" sheetId="3" r:id="rId3"/>
    <sheet name="Other Requirements" sheetId="4" r:id="rId4"/>
    <sheet name="BR-006 Impact" sheetId="5" r:id="rId5"/>
    <sheet name="BR-007 Impact" sheetId="6" r:id="rId6"/>
    <sheet name="SLA" sheetId="7" r:id="rId7"/>
    <sheet name="Groups &amp; Contacts" sheetId="8" r:id="rId8"/>
    <sheet name="Lists" sheetId="9" state="hidden" r:id="rId9"/>
  </sheets>
  <definedNames>
    <definedName name="Area">Lists!$A$2:$A$11</definedName>
    <definedName name="Calendar">Lists!$H$2:$H$3</definedName>
    <definedName name="Channel">Lists!$I$2:$I$5</definedName>
    <definedName name="FieldType">Lists!$M$2:$M$16</definedName>
    <definedName name="FilledBy">Lists!$L$2:$L$3</definedName>
    <definedName name="GroupNames">Lists!$O$2:$O$14</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7" l="1"/>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4" i="1"/>
  <c r="C33" i="1"/>
  <c r="C32" i="1"/>
  <c r="C31" i="1"/>
  <c r="C30" i="1"/>
  <c r="C29"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<sst xmlns="http://schemas.openxmlformats.org/spreadsheetml/2006/main" count="491" uniqueCount="397">
  <si>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</si>
  <si>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</si>
  <si>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</si>
  <si>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</si>
  <si>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</si>
  <si>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</si>
  <si>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</si>
  <si>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</si>
  <si>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</si>
  <si>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</si>
  <si>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</si>
  <si>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</si>
  <si>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</si>
  <si>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</si>
  <si>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</si>
  <si>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</si>
  <si>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</si>
  <si>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</si>
  <si>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</si>
  <si>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</si>
  <si>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BR-007 Impact</t>
  </si>
  <si>
    <t>The same for the five new investigation functions (BR-007).</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</si>
  <si>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</si>
  <si>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</si>
  <si>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</si>
  <si>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</si>
  <si>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</si>
  <si>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</si>
  <si>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</si>
  <si>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</si>
  <si>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</si>
  <si>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</si>
  <si>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1.4</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</si>
  <si>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</si>
  <si>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</si>
  <si>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</si>
  <si>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</si>
  <si>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</si>
  <si>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</si>
  <si>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</si>
  <si>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</si>
  <si>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</si>
  <si>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</si>
  <si>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</si>
  <si>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</si>
  <si>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</si>
  <si>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</si>
  <si>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</si>
  <si>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</si>
  <si>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</si>
  <si>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</si>
  <si>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</si>
  <si>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</si>
  <si>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</si>
  <si>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</si>
  <si>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</si>
  <si>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</si>
  <si>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</si>
  <si>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</si>
  <si>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</si>
  <si>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</si>
  <si>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</si>
  <si>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</si>
  <si>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</si>
  <si>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</si>
  <si>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</si>
  <si>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</si>
  <si>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</si>
  <si>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</si>
  <si>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</si>
  <si>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</si>
  <si>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</si>
  <si>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</si>
  <si>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</si>
  <si>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</si>
  <si>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</si>
  <si>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</si>
  <si>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</si>
  <si>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</si>
  <si>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</si>
  <si>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</si>
  <si>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</si>
  <si>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</si>
  <si>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</si>
  <si>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</si>
  <si>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</si>
  <si>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</si>
  <si>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</si>
  <si>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</si>
  <si>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</si>
  <si>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</si>
  <si>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</si>
  <si>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</si>
  <si>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</si>
  <si>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</si>
  <si>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</si>
  <si>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</si>
  <si>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</si>
  <si>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</si>
  <si>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</si>
  <si>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</si>
  <si>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</si>
  <si>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</si>
  <si>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</si>
  <si>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</si>
  <si>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</si>
  <si>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</si>
  <si>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</si>
  <si>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</si>
  <si>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</si>
  <si>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</si>
  <si>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</si>
  <si>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</si>
  <si>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</si>
  <si>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</si>
  <si>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</si>
  <si>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</si>
  <si>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</si>
  <si>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</si>
  <si>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</si>
  <si>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</si>
  <si>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</si>
  <si>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</si>
  <si>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</si>
  <si>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</si>
  <si>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</si>
  <si>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</si>
  <si>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</si>
  <si>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</si>
  <si>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</si>
  <si>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</si>
  <si>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</si>
  <si>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</si>
  <si>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</si>
  <si>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</si>
  <si>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</si>
  <si>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</si>
  <si>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</si>
  <si>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</si>
  <si>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</si>
  <si>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</si>
  <si>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</si>
  <si>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Five more investigation functions under Report Category "Other"</t>
  </si>
  <si>
    <t>When the Report Category is "Other", the Compliance Manager chooses the Investigating Function. Add these functions, each with its own investigation group:
1. Legal
2. Procurement
3. Finance
4. Cybersecurity
5. ARC Chairman
This affects the investigation group, the assignee and the user groups. Impact on current areas: see the 'BR-007 Impact' sheet.</t>
  </si>
  <si>
    <t>Choosing each new function on a test report routes it to that function's group only: its members get the assignment email, can be assigned and can see the report; no other investigation group can.</t>
  </si>
  <si>
    <t>Groups added to the 'Groups &amp; Contacts' sheet for ERC to fill in the members. Decisions needed are on the 'BR-007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</si>
  <si>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</si>
  <si>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</si>
  <si>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</si>
  <si>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</si>
  <si>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</si>
  <si>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</si>
  <si>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</si>
  <si>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</si>
  <si>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</si>
  <si>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</si>
  <si>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</si>
  <si>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</si>
  <si>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</si>
  <si>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</si>
  <si>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</si>
  <si>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</si>
  <si>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</si>
  <si>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</si>
  <si>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</si>
  <si>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</si>
  <si>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</si>
  <si>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</si>
  <si>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</si>
  <si>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</si>
  <si>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</si>
  <si>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</si>
  <si>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</si>
  <si>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</si>
  <si>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</si>
  <si>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</si>
  <si>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</si>
  <si>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</si>
  <si>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</si>
  <si>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</si>
  <si>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</si>
  <si>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</si>
  <si>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</si>
  <si>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</si>
  <si>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</si>
  <si>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</si>
  <si>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Agreed (21/10/2026): acceptable. A report about Internal Audit follows the normal workflow as built today; no third question.</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</si>
  <si>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</si>
  <si>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</si>
  <si>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</si>
  <si>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</si>
  <si>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</si>
  <si>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BR-007 - Impact of the five new investigation functions</t>
  </si>
  <si>
    <t>What changes when Legal, Procurement, Finance, Cybersecurity and ARC Chairman can investigate</t>
  </si>
  <si>
    <t>Access to a report follows its Investigation Group, so each new function needs a group, a routing entry and licensed members - nothing else in the workflow changes.</t>
  </si>
  <si>
    <t>Investigating Function (form question)</t>
  </si>
  <si>
    <t>Shown when the Report Category is Other. Options: Internal Audit, Human Resources, Health and Safety representative, Information Security, GRC-Compliance Manager.</t>
  </si>
  <si>
    <t>Add the five options to the Compliance Approval form and to the Investigating Function field: Legal, Procurement, Finance, Cybersecurity, ARC Chairman.</t>
  </si>
  <si>
    <t>Confirm the Arabic labels for the five options.</t>
  </si>
  <si>
    <t>Investigation Group</t>
  </si>
  <si>
    <t>Set automatically from the Investigating Function when the Compliance Manager submits the form; one group per function.</t>
  </si>
  <si>
    <t>Five new Jira groups, and the five function-to-group pairs added to the routing rule.</t>
  </si>
  <si>
    <t>Group names. Jira groups are shared across ERC's whole Atlassian organisation: a generic name such as "Finance" may already exist with all finance staff in it, and every one of them would see these reports. Dedicated names (e.g. "WB-Finance") are safer.</t>
  </si>
  <si>
    <t>Group members</t>
  </si>
  <si>
    <t>One row per new group added to the 'Groups &amp; Contacts' sheet.</t>
  </si>
  <si>
    <t>Members and emails for each group.</t>
  </si>
  <si>
    <t>Assignee</t>
  </si>
  <si>
    <t>Members of GRC-Compliance and of the report's Investigation Group can be assigned.</t>
  </si>
  <si>
    <t>No permission change: members of a new group can be assigned as soon as a report is routed to it.</t>
  </si>
  <si>
    <t>Who in each group should be assigned first, if anyone (default assignee)?</t>
  </si>
  <si>
    <t>A report is visible to GRC-Compliance and to its Investigation Group only.</t>
  </si>
  <si>
    <t>No change to the security level: each new group sees only the reports routed to it.</t>
  </si>
  <si>
    <t>Licences and sign-in</t>
  </si>
  <si>
    <t>Every investigator needs a Jira Service Management agent licence and must be assigned to the "Jira - SSO" enterprise app in Entra ID.</t>
  </si>
  <si>
    <t>Members of the five groups need agent licences and the SSO assignment before go-live.</t>
  </si>
  <si>
    <t>Are enough agent licences available for the new members?</t>
  </si>
  <si>
    <t>ARC Chairman</t>
  </si>
  <si>
    <t>A single person, possibly outside ERC's staff directory. As an investigation function they would need a Jira account, a licence, and would see the full report in Jira.</t>
  </si>
  <si>
    <t>Should the ARC Chairman work in Jira, or receive these cases another way (e.g. through Internal Audit)?</t>
  </si>
  <si>
    <t>Cybersecurity and Information Security</t>
  </si>
  <si>
    <t>Information Security investigates information security and data protection reports.</t>
  </si>
  <si>
    <t>Cybersecurity is added as a separate function. Under BR-006, a report about the Cybersecurity department goes to Internal Audit, so Cybersecurity never investigates a report about itself.</t>
  </si>
  <si>
    <t>Is Cybersecurity a different team from Information Security, or the same group?</t>
  </si>
  <si>
    <t>The assignment email goes to the report's Investigation Group.</t>
  </si>
  <si>
    <t>Works for the new groups once they are in the routing rule.</t>
  </si>
  <si>
    <t>Investigation decision: 2 working days, for every investigation group.</t>
  </si>
  <si>
    <t>Applies to the new groups automatically.</t>
  </si>
  <si>
    <t>Documentation and reporting</t>
  </si>
  <si>
    <t>The user guide lists the groups and the category-to-function table. Power BI breaks reports down by group.</t>
  </si>
  <si>
    <t>Update the guide's tables; the new functions appear in reporting once used.</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</si>
  <si>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</si>
  <si>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</si>
  <si>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</si>
  <si>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</si>
  <si>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</si>
  <si>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</si>
  <si>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</si>
  <si>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</si>
  <si>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</si>
  <si>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</si>
  <si>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</si>
  <si>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</si>
  <si>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</si>
  <si>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</si>
  <si>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</si>
  <si>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</si>
  <si>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</si>
  <si>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</si>
  <si>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</si>
  <si>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</si>
  <si>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</si>
  <si>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</si>
  <si>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</si>
  <si>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</si>
  <si>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</si>
  <si>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</si>
  <si>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</si>
  <si>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</si>
  <si>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</si>
  <si>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</si>
  <si>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</si>
  <si>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</si>
  <si>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</si>
  <si>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</si>
  <si>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</si>
  <si>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</si>
  <si>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</si>
  <si>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</si>
  <si>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</si>
  <si>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</si>
  <si>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</si>
  <si>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</si>
  <si>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</si>
  <si>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</si>
  <si>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</si>
  <si>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</si>
  <si>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</si>
  <si>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</si>
  <si>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</si>
  <si>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</si>
  <si>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</si>
  <si>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</si>
  <si>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</si>
  <si>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</si>
  <si>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</si>
  <si>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</si>
  <si>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</si>
  <si>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</si>
  <si>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</si>
  <si>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</si>
  <si>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</si>
  <si>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</si>
  <si>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</si>
  <si>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</si>
  <si>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</si>
  <si>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</si>
  <si>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</si>
  <si>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</si>
  <si>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</si>
  <si>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</si>
  <si>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</si>
  <si>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</si>
  <si>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</si>
  <si>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</si>
  <si>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</si>
  <si>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</si>
  <si>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</si>
  <si>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</si>
  <si>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</si>
  <si>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</si>
  <si>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Legal</t>
  </si>
  <si>
    <t>Investigates reports routed to Legal (Report Category Other) - new, BR-007</t>
  </si>
  <si>
    <t>Procurement</t>
  </si>
  <si>
    <t>Investigates reports routed to Procurement (Report Category Other) - new, BR-007</t>
  </si>
  <si>
    <t>Finance</t>
  </si>
  <si>
    <t>Investigates reports routed to Finance (Report Category Other) - new, BR-007</t>
  </si>
  <si>
    <t>Cybersecurity</t>
  </si>
  <si>
    <t>Investigates reports routed to Cybersecurity (Report Category Other) - new, BR-007</t>
  </si>
  <si>
    <t>Investigates reports routed to ARC Chairman (Report Category Other) - new, BR-007</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</si>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</sst>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5">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0" fontId="6" fillId="5"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6"/>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30" t="s">
        <v>0</v>
      </c>
      <c r="C1" s="31"/>
    </row>
    <row r="2" spans="2:3" ht="22.05" customHeight="1" x14ac:dyDescent="0.3">
      <c r="B2" s="34" t="s">
        <v>1</v>
      </c>
      <c r="C2" s="31"/>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x14ac:dyDescent="0.3">
      <c r="B15" s="5" t="s">
        <v>20</v>
      </c>
      <c r="C15" s="3" t="s">
        <v>21</v>
      </c>
    </row>
    <row r="16" spans="2:3" ht="26.4" x14ac:dyDescent="0.3">
      <c r="B16" s="5" t="s">
        <v>22</v>
      </c>
      <c r="C16" s="3" t="s">
        <v>23</v>
      </c>
    </row>
    <row r="17" spans="2:3" x14ac:dyDescent="0.3">
      <c r="B17" s="5" t="s">
        <v>24</v>
      </c>
      <c r="C17" s="3" t="s">
        <v>25</v>
      </c>
    </row>
    <row r="19" spans="2:3" ht="15.6" x14ac:dyDescent="0.3">
      <c r="B19" s="1"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6" t="s">
        <v>34</v>
      </c>
    </row>
    <row r="24" spans="2:3" x14ac:dyDescent="0.3">
      <c r="B24" s="5" t="s">
        <v>35</v>
      </c>
      <c r="C24" s="7"/>
    </row>
    <row r="25" spans="2:3" x14ac:dyDescent="0.3">
      <c r="B25" s="5" t="s">
        <v>36</v>
      </c>
      <c r="C25" s="7"/>
    </row>
    <row r="26" spans="2:3" x14ac:dyDescent="0.3">
      <c r="B26" s="5" t="s">
        <v>37</v>
      </c>
      <c r="C26" s="7"/>
    </row>
    <row r="28" spans="2:3" ht="15.6" x14ac:dyDescent="0.3">
      <c r="B28" s="1" t="s">
        <v>38</v>
      </c>
    </row>
    <row r="29" spans="2:3" x14ac:dyDescent="0.3">
      <c r="B29" s="5" t="s">
        <v>39</v>
      </c>
      <c r="C29" s="8">
        <f>COUNTA('Service Catalog'!C7:C66)</f>
        <v>0</v>
      </c>
    </row>
    <row r="30" spans="2:3" x14ac:dyDescent="0.3">
      <c r="B30" s="5" t="s">
        <v>40</v>
      </c>
      <c r="C30" s="8">
        <f>COUNTA('Request Form Fields'!D7:D66)</f>
        <v>0</v>
      </c>
    </row>
    <row r="31" spans="2:3" x14ac:dyDescent="0.3">
      <c r="B31" s="5" t="s">
        <v>41</v>
      </c>
      <c r="C31" s="8">
        <f>COUNTA('Other Requirements'!C7:C66)</f>
        <v>6</v>
      </c>
    </row>
    <row r="32" spans="2:3" x14ac:dyDescent="0.3">
      <c r="B32" s="5" t="s">
        <v>42</v>
      </c>
      <c r="C32" s="8">
        <f>COUNTIF('Other Requirements'!K7:K66,"Approved")</f>
        <v>0</v>
      </c>
    </row>
    <row r="33" spans="2:3" x14ac:dyDescent="0.3">
      <c r="B33" s="5" t="s">
        <v>43</v>
      </c>
      <c r="C33" s="8">
        <f>COUNTA(SLA!B7:B66)</f>
        <v>1</v>
      </c>
    </row>
    <row r="34" spans="2:3" x14ac:dyDescent="0.3">
      <c r="B34" s="5" t="s">
        <v>44</v>
      </c>
      <c r="C34" s="8">
        <f>COUNTA('Groups &amp; Contacts'!C7:C66)</f>
        <v>0</v>
      </c>
    </row>
    <row r="36" spans="2:3" x14ac:dyDescent="0.3">
      <c r="B36" s="32" t="s">
        <v>45</v>
      </c>
      <c r="C36" s="33"/>
    </row>
  </sheetData>
  <mergeCells count="3">
    <mergeCell ref="B1:C1"/>
    <mergeCell ref="B36:C36"/>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30" t="s">
        <v>12</v>
      </c>
      <c r="C1" s="31"/>
      <c r="D1" s="31"/>
      <c r="E1" s="31"/>
      <c r="F1" s="31"/>
      <c r="G1" s="31"/>
      <c r="H1" s="31"/>
      <c r="I1" s="31"/>
      <c r="J1" s="31"/>
      <c r="K1" s="31"/>
      <c r="L1" s="31"/>
      <c r="M1" s="31"/>
      <c r="N1" s="31"/>
    </row>
    <row r="2" spans="1:14" ht="22.05" customHeight="1" x14ac:dyDescent="0.3">
      <c r="B2" s="34" t="s">
        <v>46</v>
      </c>
      <c r="C2" s="31"/>
      <c r="D2" s="31"/>
      <c r="E2" s="31"/>
      <c r="F2" s="31"/>
      <c r="G2" s="31"/>
      <c r="H2" s="31"/>
      <c r="I2" s="31"/>
      <c r="J2" s="31"/>
      <c r="K2" s="31"/>
      <c r="L2" s="31"/>
      <c r="M2" s="31"/>
      <c r="N2" s="31"/>
    </row>
    <row r="4" spans="1:14" x14ac:dyDescent="0.3">
      <c r="A4" s="9" t="s">
        <v>47</v>
      </c>
    </row>
    <row r="5" spans="1:14" ht="48" customHeight="1" x14ac:dyDescent="0.3">
      <c r="A5" s="10" t="s">
        <v>48</v>
      </c>
      <c r="B5" s="10" t="s">
        <v>49</v>
      </c>
      <c r="C5" s="10" t="s">
        <v>50</v>
      </c>
      <c r="D5" s="10" t="s">
        <v>51</v>
      </c>
      <c r="E5" s="10" t="s">
        <v>52</v>
      </c>
      <c r="F5" s="10" t="s">
        <v>53</v>
      </c>
      <c r="G5" s="10" t="s">
        <v>54</v>
      </c>
      <c r="H5" s="10" t="s">
        <v>55</v>
      </c>
      <c r="I5" s="10" t="s">
        <v>56</v>
      </c>
      <c r="J5" s="10" t="s">
        <v>57</v>
      </c>
      <c r="K5" s="10" t="s">
        <v>58</v>
      </c>
      <c r="L5" s="10" t="s">
        <v>59</v>
      </c>
      <c r="M5" s="10" t="s">
        <v>60</v>
      </c>
      <c r="N5" s="10" t="s">
        <v>61</v>
      </c>
    </row>
    <row r="6" spans="1:14" ht="52.8" x14ac:dyDescent="0.3">
      <c r="A6" s="11" t="s">
        <v>62</v>
      </c>
      <c r="B6" s="11" t="s">
        <v>63</v>
      </c>
      <c r="C6" s="11" t="s">
        <v>64</v>
      </c>
      <c r="D6" s="11" t="s">
        <v>65</v>
      </c>
      <c r="E6" s="11" t="s">
        <v>66</v>
      </c>
      <c r="F6" s="11" t="s">
        <v>67</v>
      </c>
      <c r="G6" s="11" t="s">
        <v>68</v>
      </c>
      <c r="H6" s="11" t="s">
        <v>68</v>
      </c>
      <c r="I6" s="11" t="s">
        <v>69</v>
      </c>
      <c r="J6" s="11" t="s">
        <v>70</v>
      </c>
      <c r="K6" s="11" t="s">
        <v>71</v>
      </c>
      <c r="L6" s="12">
        <f t="shared" ref="L6:L37" si="0">IF(C6="","",SUMPRODUCT((TRIM(F6:H6)&lt;&gt;"")*(TRIM(F6:H6)&lt;&gt;"None")*(TRIM(F6:H6)&lt;&gt;"-")))</f>
        <v>1</v>
      </c>
      <c r="M6" s="12">
        <f>IF(C6="","",COUNTIF('Request Form Fields'!$B$6:$B$66,C6))</f>
        <v>1</v>
      </c>
      <c r="N6" s="11" t="s">
        <v>72</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30" t="s">
        <v>14</v>
      </c>
      <c r="C1" s="31"/>
      <c r="D1" s="31"/>
      <c r="E1" s="31"/>
      <c r="F1" s="31"/>
      <c r="G1" s="31"/>
      <c r="H1" s="31"/>
      <c r="I1" s="31"/>
      <c r="J1" s="31"/>
      <c r="K1" s="31"/>
      <c r="L1" s="31"/>
    </row>
    <row r="2" spans="1:12" ht="22.05" customHeight="1" x14ac:dyDescent="0.3">
      <c r="B2" s="34" t="s">
        <v>73</v>
      </c>
      <c r="C2" s="31"/>
      <c r="D2" s="31"/>
      <c r="E2" s="31"/>
      <c r="F2" s="31"/>
      <c r="G2" s="31"/>
      <c r="H2" s="31"/>
      <c r="I2" s="31"/>
      <c r="J2" s="31"/>
      <c r="K2" s="31"/>
      <c r="L2" s="31"/>
    </row>
    <row r="4" spans="1:12" x14ac:dyDescent="0.3">
      <c r="A4" s="9" t="s">
        <v>74</v>
      </c>
    </row>
    <row r="5" spans="1:12" ht="48" customHeight="1" x14ac:dyDescent="0.3">
      <c r="A5" s="10" t="s">
        <v>75</v>
      </c>
      <c r="B5" s="10" t="s">
        <v>50</v>
      </c>
      <c r="C5" s="10" t="s">
        <v>76</v>
      </c>
      <c r="D5" s="10" t="s">
        <v>77</v>
      </c>
      <c r="E5" s="10" t="s">
        <v>78</v>
      </c>
      <c r="F5" s="10" t="s">
        <v>79</v>
      </c>
      <c r="G5" s="10" t="s">
        <v>80</v>
      </c>
      <c r="H5" s="10" t="s">
        <v>81</v>
      </c>
      <c r="I5" s="10" t="s">
        <v>82</v>
      </c>
      <c r="J5" s="10" t="s">
        <v>83</v>
      </c>
      <c r="K5" s="10" t="s">
        <v>84</v>
      </c>
      <c r="L5" s="10" t="s">
        <v>61</v>
      </c>
    </row>
    <row r="6" spans="1:12" ht="26.4" x14ac:dyDescent="0.3">
      <c r="A6" s="11" t="s">
        <v>85</v>
      </c>
      <c r="B6" s="11" t="s">
        <v>64</v>
      </c>
      <c r="C6" s="11">
        <v>1</v>
      </c>
      <c r="D6" s="11" t="s">
        <v>86</v>
      </c>
      <c r="E6" s="11" t="s">
        <v>87</v>
      </c>
      <c r="F6" s="11" t="s">
        <v>88</v>
      </c>
      <c r="G6" s="11" t="s">
        <v>89</v>
      </c>
      <c r="H6" s="11" t="s">
        <v>90</v>
      </c>
      <c r="I6" s="11" t="s">
        <v>91</v>
      </c>
      <c r="J6" s="11" t="s">
        <v>92</v>
      </c>
      <c r="K6" s="11" t="str">
        <f t="shared" ref="K6:K37" si="0">IF(F6="","",IFERROR(INDEX(JiraField,MATCH(F6,FieldType,0)),"Ejada to review"))</f>
        <v>Select List (single choice)</v>
      </c>
      <c r="L6" s="11" t="s">
        <v>93</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30" t="s">
        <v>16</v>
      </c>
      <c r="C1" s="31"/>
      <c r="D1" s="31"/>
      <c r="E1" s="31"/>
      <c r="F1" s="31"/>
      <c r="G1" s="31"/>
      <c r="H1" s="31"/>
      <c r="I1" s="31"/>
      <c r="J1" s="31"/>
      <c r="K1" s="31"/>
      <c r="L1" s="31"/>
    </row>
    <row r="2" spans="1:12" ht="22.05" customHeight="1" x14ac:dyDescent="0.3">
      <c r="B2" s="34" t="s">
        <v>94</v>
      </c>
      <c r="C2" s="31"/>
      <c r="D2" s="31"/>
      <c r="E2" s="31"/>
      <c r="F2" s="31"/>
      <c r="G2" s="31"/>
      <c r="H2" s="31"/>
      <c r="I2" s="31"/>
      <c r="J2" s="31"/>
      <c r="K2" s="31"/>
      <c r="L2" s="31"/>
    </row>
    <row r="4" spans="1:12" x14ac:dyDescent="0.3">
      <c r="A4" s="9" t="s">
        <v>95</v>
      </c>
    </row>
    <row r="5" spans="1:12" ht="34.049999999999997" customHeight="1" x14ac:dyDescent="0.3">
      <c r="A5" s="10" t="s">
        <v>96</v>
      </c>
      <c r="B5" s="10" t="s">
        <v>97</v>
      </c>
      <c r="C5" s="10" t="s">
        <v>98</v>
      </c>
      <c r="D5" s="10" t="s">
        <v>99</v>
      </c>
      <c r="E5" s="10" t="s">
        <v>100</v>
      </c>
      <c r="F5" s="10" t="s">
        <v>101</v>
      </c>
      <c r="G5" s="10" t="s">
        <v>102</v>
      </c>
      <c r="H5" s="10" t="s">
        <v>103</v>
      </c>
      <c r="I5" s="10" t="s">
        <v>104</v>
      </c>
      <c r="J5" s="10" t="s">
        <v>105</v>
      </c>
      <c r="K5" s="10" t="s">
        <v>106</v>
      </c>
      <c r="L5" s="10" t="s">
        <v>61</v>
      </c>
    </row>
    <row r="6" spans="1:12" ht="39.6" x14ac:dyDescent="0.3">
      <c r="A6" s="11" t="s">
        <v>107</v>
      </c>
      <c r="B6" s="11" t="s">
        <v>108</v>
      </c>
      <c r="C6" s="11" t="s">
        <v>109</v>
      </c>
      <c r="D6" s="11" t="s">
        <v>110</v>
      </c>
      <c r="E6" s="11" t="s">
        <v>111</v>
      </c>
      <c r="F6" s="11" t="s">
        <v>112</v>
      </c>
      <c r="G6" s="11" t="s">
        <v>113</v>
      </c>
      <c r="H6" s="11" t="s">
        <v>114</v>
      </c>
      <c r="I6" s="11" t="s">
        <v>115</v>
      </c>
      <c r="J6" s="16" t="s">
        <v>116</v>
      </c>
      <c r="K6" s="11" t="s">
        <v>117</v>
      </c>
      <c r="L6" s="11" t="s">
        <v>118</v>
      </c>
    </row>
    <row r="7" spans="1:12" ht="52.8" x14ac:dyDescent="0.3">
      <c r="A7" s="13" t="str">
        <f t="shared" ref="A7:A38" si="0">IF(C7="","","BR-"&amp;TEXT(ROW()-5,"000"))</f>
        <v>BR-002</v>
      </c>
      <c r="B7" s="14" t="s">
        <v>119</v>
      </c>
      <c r="C7" s="14" t="s">
        <v>120</v>
      </c>
      <c r="D7" s="14" t="s">
        <v>121</v>
      </c>
      <c r="E7" s="14"/>
      <c r="F7" s="14"/>
      <c r="G7" s="14"/>
      <c r="H7" s="14"/>
      <c r="I7" s="14" t="s">
        <v>122</v>
      </c>
      <c r="J7" s="17"/>
      <c r="K7" s="14" t="s">
        <v>123</v>
      </c>
      <c r="L7" s="14" t="s">
        <v>124</v>
      </c>
    </row>
    <row r="8" spans="1:12" ht="79.2" x14ac:dyDescent="0.3">
      <c r="A8" s="13" t="str">
        <f t="shared" si="0"/>
        <v>BR-003</v>
      </c>
      <c r="B8" s="14" t="s">
        <v>119</v>
      </c>
      <c r="C8" s="14" t="s">
        <v>125</v>
      </c>
      <c r="D8" s="14" t="s">
        <v>126</v>
      </c>
      <c r="E8" s="14"/>
      <c r="F8" s="14"/>
      <c r="G8" s="14"/>
      <c r="H8" s="14"/>
      <c r="I8" s="14" t="s">
        <v>127</v>
      </c>
      <c r="J8" s="17"/>
      <c r="K8" s="14" t="s">
        <v>123</v>
      </c>
      <c r="L8" s="14" t="s">
        <v>128</v>
      </c>
    </row>
    <row r="9" spans="1:12" ht="92.4" x14ac:dyDescent="0.3">
      <c r="A9" s="13" t="str">
        <f t="shared" si="0"/>
        <v>BR-004</v>
      </c>
      <c r="B9" s="14" t="s">
        <v>119</v>
      </c>
      <c r="C9" s="14" t="s">
        <v>129</v>
      </c>
      <c r="D9" s="14" t="s">
        <v>130</v>
      </c>
      <c r="E9" s="14"/>
      <c r="F9" s="14"/>
      <c r="G9" s="14"/>
      <c r="H9" s="14"/>
      <c r="I9" s="14" t="s">
        <v>131</v>
      </c>
      <c r="J9" s="17"/>
      <c r="K9" s="14" t="s">
        <v>123</v>
      </c>
      <c r="L9" s="14" t="s">
        <v>132</v>
      </c>
    </row>
    <row r="10" spans="1:12" ht="409.6" x14ac:dyDescent="0.3">
      <c r="A10" s="13" t="str">
        <f t="shared" si="0"/>
        <v>BR-005</v>
      </c>
      <c r="B10" s="14" t="s">
        <v>119</v>
      </c>
      <c r="C10" s="14" t="s">
        <v>133</v>
      </c>
      <c r="D10" s="14" t="s">
        <v>134</v>
      </c>
      <c r="E10" s="14"/>
      <c r="F10" s="14"/>
      <c r="G10" s="14"/>
      <c r="H10" s="14"/>
      <c r="I10" s="14" t="s">
        <v>135</v>
      </c>
      <c r="J10" s="17"/>
      <c r="K10" s="14" t="s">
        <v>123</v>
      </c>
      <c r="L10" s="14" t="s">
        <v>136</v>
      </c>
    </row>
    <row r="11" spans="1:12" ht="184.8" x14ac:dyDescent="0.3">
      <c r="A11" s="13" t="str">
        <f t="shared" si="0"/>
        <v>BR-006</v>
      </c>
      <c r="B11" s="14" t="s">
        <v>137</v>
      </c>
      <c r="C11" s="14" t="s">
        <v>138</v>
      </c>
      <c r="D11" s="14" t="s">
        <v>139</v>
      </c>
      <c r="E11" s="14"/>
      <c r="F11" s="14"/>
      <c r="G11" s="14"/>
      <c r="H11" s="14"/>
      <c r="I11" s="14" t="s">
        <v>140</v>
      </c>
      <c r="J11" s="17"/>
      <c r="K11" s="14" t="s">
        <v>123</v>
      </c>
      <c r="L11" s="14" t="s">
        <v>141</v>
      </c>
    </row>
    <row r="12" spans="1:12" ht="158.4" x14ac:dyDescent="0.3">
      <c r="A12" s="13" t="str">
        <f t="shared" si="0"/>
        <v>BR-007</v>
      </c>
      <c r="B12" s="14" t="s">
        <v>137</v>
      </c>
      <c r="C12" s="14" t="s">
        <v>142</v>
      </c>
      <c r="D12" s="14" t="s">
        <v>143</v>
      </c>
      <c r="E12" s="14"/>
      <c r="F12" s="14"/>
      <c r="G12" s="14"/>
      <c r="H12" s="14"/>
      <c r="I12" s="14" t="s">
        <v>144</v>
      </c>
      <c r="J12" s="17"/>
      <c r="K12" s="14" t="s">
        <v>123</v>
      </c>
      <c r="L12" s="14" t="s">
        <v>145</v>
      </c>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146</v>
      </c>
      <c r="C1" s="31"/>
      <c r="D1" s="31"/>
      <c r="E1" s="31"/>
      <c r="F1" s="31"/>
    </row>
    <row r="2" spans="1:6" ht="22.05" customHeight="1" x14ac:dyDescent="0.3">
      <c r="B2" s="34" t="s">
        <v>147</v>
      </c>
      <c r="C2" s="31"/>
      <c r="D2" s="31"/>
      <c r="E2" s="31"/>
      <c r="F2" s="31"/>
    </row>
    <row r="4" spans="1:6" x14ac:dyDescent="0.3">
      <c r="A4" s="9" t="s">
        <v>148</v>
      </c>
    </row>
    <row r="5" spans="1:6" ht="24" customHeight="1" x14ac:dyDescent="0.3">
      <c r="A5" s="18" t="s">
        <v>149</v>
      </c>
      <c r="B5" s="18" t="s">
        <v>97</v>
      </c>
      <c r="C5" s="18" t="s">
        <v>150</v>
      </c>
      <c r="D5" s="18" t="s">
        <v>151</v>
      </c>
      <c r="E5" s="18" t="s">
        <v>152</v>
      </c>
      <c r="F5" s="18" t="s">
        <v>153</v>
      </c>
    </row>
    <row r="6" spans="1:6" ht="39.6" x14ac:dyDescent="0.3">
      <c r="A6" s="19">
        <v>1</v>
      </c>
      <c r="B6" s="20" t="s">
        <v>154</v>
      </c>
      <c r="C6" s="19" t="s">
        <v>155</v>
      </c>
      <c r="D6" s="19" t="s">
        <v>156</v>
      </c>
      <c r="E6" s="19" t="s">
        <v>157</v>
      </c>
      <c r="F6" s="14"/>
    </row>
    <row r="7" spans="1:6" ht="39.6" x14ac:dyDescent="0.3">
      <c r="A7" s="21">
        <v>2</v>
      </c>
      <c r="B7" s="22" t="s">
        <v>158</v>
      </c>
      <c r="C7" s="21" t="s">
        <v>159</v>
      </c>
      <c r="D7" s="21" t="s">
        <v>160</v>
      </c>
      <c r="E7" s="21" t="s">
        <v>161</v>
      </c>
      <c r="F7" s="14"/>
    </row>
    <row r="8" spans="1:6" ht="39.6" x14ac:dyDescent="0.3">
      <c r="A8" s="19">
        <v>3</v>
      </c>
      <c r="B8" s="20" t="s">
        <v>162</v>
      </c>
      <c r="C8" s="19" t="s">
        <v>163</v>
      </c>
      <c r="D8" s="19" t="s">
        <v>164</v>
      </c>
      <c r="E8" s="19" t="s">
        <v>68</v>
      </c>
      <c r="F8" s="23"/>
    </row>
    <row r="9" spans="1:6" ht="26.4" x14ac:dyDescent="0.3">
      <c r="A9" s="21">
        <v>4</v>
      </c>
      <c r="B9" s="22" t="s">
        <v>165</v>
      </c>
      <c r="C9" s="21" t="s">
        <v>166</v>
      </c>
      <c r="D9" s="21" t="s">
        <v>167</v>
      </c>
      <c r="E9" s="21" t="s">
        <v>168</v>
      </c>
      <c r="F9" s="14"/>
    </row>
    <row r="10" spans="1:6" ht="39.6" x14ac:dyDescent="0.3">
      <c r="A10" s="19">
        <v>5</v>
      </c>
      <c r="B10" s="20" t="s">
        <v>108</v>
      </c>
      <c r="C10" s="19" t="s">
        <v>169</v>
      </c>
      <c r="D10" s="19" t="s">
        <v>170</v>
      </c>
      <c r="E10" s="19" t="s">
        <v>68</v>
      </c>
      <c r="F10" s="23"/>
    </row>
    <row r="11" spans="1:6" ht="39.6" x14ac:dyDescent="0.3">
      <c r="A11" s="21">
        <v>6</v>
      </c>
      <c r="B11" s="22" t="s">
        <v>171</v>
      </c>
      <c r="C11" s="21" t="s">
        <v>172</v>
      </c>
      <c r="D11" s="21" t="s">
        <v>173</v>
      </c>
      <c r="E11" s="21" t="s">
        <v>174</v>
      </c>
      <c r="F11" s="14"/>
    </row>
    <row r="12" spans="1:6" ht="26.4" x14ac:dyDescent="0.3">
      <c r="A12" s="19">
        <v>7</v>
      </c>
      <c r="B12" s="20" t="s">
        <v>175</v>
      </c>
      <c r="C12" s="19" t="s">
        <v>176</v>
      </c>
      <c r="D12" s="19" t="s">
        <v>177</v>
      </c>
      <c r="E12" s="19" t="s">
        <v>178</v>
      </c>
      <c r="F12" s="14"/>
    </row>
    <row r="13" spans="1:6" ht="39.6" x14ac:dyDescent="0.3">
      <c r="A13" s="21">
        <v>8</v>
      </c>
      <c r="B13" s="22" t="s">
        <v>179</v>
      </c>
      <c r="C13" s="21" t="s">
        <v>180</v>
      </c>
      <c r="D13" s="21" t="s">
        <v>181</v>
      </c>
      <c r="E13" s="21" t="s">
        <v>182</v>
      </c>
      <c r="F13" s="14"/>
    </row>
    <row r="14" spans="1:6" ht="39.6" x14ac:dyDescent="0.3">
      <c r="A14" s="19">
        <v>9</v>
      </c>
      <c r="B14" s="20" t="s">
        <v>183</v>
      </c>
      <c r="C14" s="19" t="s">
        <v>68</v>
      </c>
      <c r="D14" s="19" t="s">
        <v>184</v>
      </c>
      <c r="E14" s="19" t="s">
        <v>185</v>
      </c>
      <c r="F14" s="24" t="s">
        <v>186</v>
      </c>
    </row>
    <row r="15" spans="1:6" ht="26.4" x14ac:dyDescent="0.3">
      <c r="A15" s="21">
        <v>10</v>
      </c>
      <c r="B15" s="22" t="s">
        <v>187</v>
      </c>
      <c r="C15" s="21" t="s">
        <v>188</v>
      </c>
      <c r="D15" s="21" t="s">
        <v>189</v>
      </c>
      <c r="E15" s="21" t="s">
        <v>68</v>
      </c>
      <c r="F15" s="23"/>
    </row>
    <row r="16" spans="1:6" ht="26.4" x14ac:dyDescent="0.3">
      <c r="A16" s="19">
        <v>11</v>
      </c>
      <c r="B16" s="20" t="s">
        <v>190</v>
      </c>
      <c r="C16" s="19" t="s">
        <v>68</v>
      </c>
      <c r="D16" s="19" t="s">
        <v>191</v>
      </c>
      <c r="E16" s="19" t="s">
        <v>68</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192</v>
      </c>
      <c r="C1" s="31"/>
      <c r="D1" s="31"/>
      <c r="E1" s="31"/>
      <c r="F1" s="31"/>
    </row>
    <row r="2" spans="1:6" ht="22.05" customHeight="1" x14ac:dyDescent="0.3">
      <c r="B2" s="34" t="s">
        <v>193</v>
      </c>
      <c r="C2" s="31"/>
      <c r="D2" s="31"/>
      <c r="E2" s="31"/>
      <c r="F2" s="31"/>
    </row>
    <row r="4" spans="1:6" x14ac:dyDescent="0.3">
      <c r="A4" s="9" t="s">
        <v>194</v>
      </c>
    </row>
    <row r="5" spans="1:6" ht="24" customHeight="1" x14ac:dyDescent="0.3">
      <c r="A5" s="18" t="s">
        <v>149</v>
      </c>
      <c r="B5" s="18" t="s">
        <v>97</v>
      </c>
      <c r="C5" s="18" t="s">
        <v>150</v>
      </c>
      <c r="D5" s="18" t="s">
        <v>151</v>
      </c>
      <c r="E5" s="18" t="s">
        <v>152</v>
      </c>
      <c r="F5" s="18" t="s">
        <v>153</v>
      </c>
    </row>
    <row r="6" spans="1:6" ht="52.8" x14ac:dyDescent="0.3">
      <c r="A6" s="19">
        <v>1</v>
      </c>
      <c r="B6" s="20" t="s">
        <v>195</v>
      </c>
      <c r="C6" s="19" t="s">
        <v>196</v>
      </c>
      <c r="D6" s="19" t="s">
        <v>197</v>
      </c>
      <c r="E6" s="19" t="s">
        <v>198</v>
      </c>
      <c r="F6" s="14"/>
    </row>
    <row r="7" spans="1:6" ht="66" x14ac:dyDescent="0.3">
      <c r="A7" s="21">
        <v>2</v>
      </c>
      <c r="B7" s="22" t="s">
        <v>199</v>
      </c>
      <c r="C7" s="21" t="s">
        <v>200</v>
      </c>
      <c r="D7" s="21" t="s">
        <v>201</v>
      </c>
      <c r="E7" s="21" t="s">
        <v>202</v>
      </c>
      <c r="F7" s="14"/>
    </row>
    <row r="8" spans="1:6" ht="26.4" x14ac:dyDescent="0.3">
      <c r="A8" s="19">
        <v>3</v>
      </c>
      <c r="B8" s="20" t="s">
        <v>203</v>
      </c>
      <c r="C8" s="19" t="s">
        <v>68</v>
      </c>
      <c r="D8" s="19" t="s">
        <v>204</v>
      </c>
      <c r="E8" s="19" t="s">
        <v>205</v>
      </c>
      <c r="F8" s="14"/>
    </row>
    <row r="9" spans="1:6" ht="26.4" x14ac:dyDescent="0.3">
      <c r="A9" s="21">
        <v>4</v>
      </c>
      <c r="B9" s="22" t="s">
        <v>206</v>
      </c>
      <c r="C9" s="21" t="s">
        <v>207</v>
      </c>
      <c r="D9" s="21" t="s">
        <v>208</v>
      </c>
      <c r="E9" s="21" t="s">
        <v>209</v>
      </c>
      <c r="F9" s="14"/>
    </row>
    <row r="10" spans="1:6" ht="26.4" x14ac:dyDescent="0.3">
      <c r="A10" s="19">
        <v>5</v>
      </c>
      <c r="B10" s="20" t="s">
        <v>165</v>
      </c>
      <c r="C10" s="19" t="s">
        <v>210</v>
      </c>
      <c r="D10" s="19" t="s">
        <v>211</v>
      </c>
      <c r="E10" s="19" t="s">
        <v>68</v>
      </c>
      <c r="F10" s="23"/>
    </row>
    <row r="11" spans="1:6" ht="52.8" x14ac:dyDescent="0.3">
      <c r="A11" s="21">
        <v>6</v>
      </c>
      <c r="B11" s="22" t="s">
        <v>212</v>
      </c>
      <c r="C11" s="21" t="s">
        <v>213</v>
      </c>
      <c r="D11" s="21" t="s">
        <v>214</v>
      </c>
      <c r="E11" s="21" t="s">
        <v>215</v>
      </c>
      <c r="F11" s="14"/>
    </row>
    <row r="12" spans="1:6" ht="39.6" x14ac:dyDescent="0.3">
      <c r="A12" s="19">
        <v>7</v>
      </c>
      <c r="B12" s="20" t="s">
        <v>216</v>
      </c>
      <c r="C12" s="19" t="s">
        <v>68</v>
      </c>
      <c r="D12" s="19" t="s">
        <v>217</v>
      </c>
      <c r="E12" s="19" t="s">
        <v>218</v>
      </c>
      <c r="F12" s="14"/>
    </row>
    <row r="13" spans="1:6" ht="52.8" x14ac:dyDescent="0.3">
      <c r="A13" s="21">
        <v>8</v>
      </c>
      <c r="B13" s="22" t="s">
        <v>219</v>
      </c>
      <c r="C13" s="21" t="s">
        <v>220</v>
      </c>
      <c r="D13" s="21" t="s">
        <v>221</v>
      </c>
      <c r="E13" s="21" t="s">
        <v>222</v>
      </c>
      <c r="F13" s="14"/>
    </row>
    <row r="14" spans="1:6" ht="26.4" x14ac:dyDescent="0.3">
      <c r="A14" s="19">
        <v>9</v>
      </c>
      <c r="B14" s="20" t="s">
        <v>108</v>
      </c>
      <c r="C14" s="19" t="s">
        <v>223</v>
      </c>
      <c r="D14" s="19" t="s">
        <v>224</v>
      </c>
      <c r="E14" s="19" t="s">
        <v>68</v>
      </c>
      <c r="F14" s="23"/>
    </row>
    <row r="15" spans="1:6" ht="26.4" x14ac:dyDescent="0.3">
      <c r="A15" s="21">
        <v>10</v>
      </c>
      <c r="B15" s="22" t="s">
        <v>171</v>
      </c>
      <c r="C15" s="21" t="s">
        <v>225</v>
      </c>
      <c r="D15" s="21" t="s">
        <v>226</v>
      </c>
      <c r="E15" s="21" t="s">
        <v>68</v>
      </c>
      <c r="F15" s="23"/>
    </row>
    <row r="16" spans="1:6" ht="39.6" x14ac:dyDescent="0.3">
      <c r="A16" s="19">
        <v>11</v>
      </c>
      <c r="B16" s="20" t="s">
        <v>227</v>
      </c>
      <c r="C16" s="19" t="s">
        <v>228</v>
      </c>
      <c r="D16" s="19" t="s">
        <v>229</v>
      </c>
      <c r="E16" s="19" t="s">
        <v>68</v>
      </c>
      <c r="F16" s="23"/>
    </row>
  </sheetData>
  <mergeCells count="2">
    <mergeCell ref="B2:F2"/>
    <mergeCell ref="B1:F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30" t="s">
        <v>230</v>
      </c>
      <c r="C1" s="31"/>
      <c r="D1" s="31"/>
      <c r="E1" s="31"/>
      <c r="F1" s="31"/>
      <c r="G1" s="31"/>
      <c r="H1" s="31"/>
      <c r="I1" s="31"/>
      <c r="J1" s="31"/>
      <c r="K1" s="31"/>
      <c r="L1" s="31"/>
      <c r="M1" s="31"/>
      <c r="N1" s="31"/>
      <c r="O1" s="31"/>
      <c r="P1" s="31"/>
      <c r="Q1" s="31"/>
      <c r="R1" s="31"/>
      <c r="S1" s="31"/>
      <c r="T1" s="31"/>
      <c r="U1" s="31"/>
      <c r="V1" s="31"/>
      <c r="W1" s="31"/>
      <c r="X1" s="31"/>
      <c r="Y1" s="31"/>
      <c r="Z1" s="31"/>
      <c r="AA1" s="31"/>
    </row>
    <row r="2" spans="1:27" ht="22.05" customHeight="1" x14ac:dyDescent="0.3">
      <c r="B2" s="34" t="s">
        <v>231</v>
      </c>
      <c r="C2" s="31"/>
      <c r="D2" s="31"/>
      <c r="E2" s="31"/>
      <c r="F2" s="31"/>
      <c r="G2" s="31"/>
      <c r="H2" s="31"/>
      <c r="I2" s="31"/>
      <c r="J2" s="31"/>
      <c r="K2" s="31"/>
      <c r="L2" s="31"/>
      <c r="M2" s="31"/>
      <c r="N2" s="31"/>
      <c r="O2" s="31"/>
      <c r="P2" s="31"/>
      <c r="Q2" s="31"/>
      <c r="R2" s="31"/>
      <c r="S2" s="31"/>
      <c r="T2" s="31"/>
      <c r="U2" s="31"/>
      <c r="V2" s="31"/>
      <c r="W2" s="31"/>
      <c r="X2" s="31"/>
      <c r="Y2" s="31"/>
      <c r="Z2" s="31"/>
      <c r="AA2" s="31"/>
    </row>
    <row r="4" spans="1:27" x14ac:dyDescent="0.3">
      <c r="A4" s="9" t="s">
        <v>232</v>
      </c>
    </row>
    <row r="5" spans="1:27" ht="34.049999999999997" customHeight="1" x14ac:dyDescent="0.3">
      <c r="A5" s="10" t="s">
        <v>233</v>
      </c>
      <c r="B5" s="10" t="s">
        <v>234</v>
      </c>
      <c r="C5" s="10" t="s">
        <v>235</v>
      </c>
      <c r="D5" s="10" t="s">
        <v>236</v>
      </c>
      <c r="E5" s="10" t="s">
        <v>237</v>
      </c>
      <c r="F5" s="10" t="s">
        <v>238</v>
      </c>
      <c r="G5" s="10" t="s">
        <v>239</v>
      </c>
      <c r="H5" s="10" t="s">
        <v>240</v>
      </c>
      <c r="I5" s="10" t="s">
        <v>241</v>
      </c>
      <c r="J5" s="10" t="s">
        <v>242</v>
      </c>
      <c r="K5" s="10" t="s">
        <v>243</v>
      </c>
      <c r="L5" s="10" t="s">
        <v>244</v>
      </c>
      <c r="M5" s="10" t="s">
        <v>245</v>
      </c>
      <c r="N5" s="10" t="s">
        <v>246</v>
      </c>
      <c r="O5" s="10" t="s">
        <v>247</v>
      </c>
      <c r="P5" s="10" t="s">
        <v>248</v>
      </c>
      <c r="Q5" s="10" t="s">
        <v>249</v>
      </c>
      <c r="R5" s="10" t="s">
        <v>250</v>
      </c>
      <c r="S5" s="10" t="s">
        <v>251</v>
      </c>
      <c r="T5" s="10" t="s">
        <v>252</v>
      </c>
      <c r="U5" s="10" t="s">
        <v>253</v>
      </c>
      <c r="V5" s="10" t="s">
        <v>254</v>
      </c>
      <c r="W5" s="10" t="s">
        <v>255</v>
      </c>
      <c r="X5" s="10" t="s">
        <v>256</v>
      </c>
      <c r="Y5" s="10" t="s">
        <v>257</v>
      </c>
      <c r="Z5" s="10" t="s">
        <v>258</v>
      </c>
      <c r="AA5" s="10" t="s">
        <v>259</v>
      </c>
    </row>
    <row r="6" spans="1:27" ht="52.8" x14ac:dyDescent="0.3">
      <c r="A6" s="11" t="s">
        <v>260</v>
      </c>
      <c r="B6" s="11" t="s">
        <v>261</v>
      </c>
      <c r="C6" s="11" t="s">
        <v>262</v>
      </c>
      <c r="D6" s="11" t="s">
        <v>263</v>
      </c>
      <c r="E6" s="11" t="s">
        <v>264</v>
      </c>
      <c r="F6" s="11" t="s">
        <v>265</v>
      </c>
      <c r="G6" s="11" t="s">
        <v>266</v>
      </c>
      <c r="H6" s="11" t="s">
        <v>267</v>
      </c>
      <c r="I6" s="11">
        <v>2</v>
      </c>
      <c r="J6" s="11" t="s">
        <v>268</v>
      </c>
      <c r="K6" s="11" t="s">
        <v>269</v>
      </c>
      <c r="L6" s="25">
        <v>0.75</v>
      </c>
      <c r="M6" s="11" t="s">
        <v>270</v>
      </c>
      <c r="N6" s="11"/>
      <c r="O6" s="11">
        <v>0</v>
      </c>
      <c r="P6" s="11" t="s">
        <v>271</v>
      </c>
      <c r="Q6" s="11" t="s">
        <v>272</v>
      </c>
      <c r="R6" s="11" t="s">
        <v>273</v>
      </c>
      <c r="S6" s="11">
        <v>1</v>
      </c>
      <c r="T6" s="11"/>
      <c r="U6" s="11"/>
      <c r="V6" s="11"/>
      <c r="W6" s="11"/>
      <c r="X6" s="11"/>
      <c r="Y6" s="11"/>
      <c r="Z6" s="11"/>
      <c r="AA6" s="11" t="s">
        <v>274</v>
      </c>
    </row>
    <row r="7" spans="1:27" ht="26.4" x14ac:dyDescent="0.3">
      <c r="A7" s="13" t="str">
        <f t="shared" ref="A7:A38" si="0">IF(B7="","","SLA-"&amp;TEXT(ROW()-5,"00"))</f>
        <v>SLA-02</v>
      </c>
      <c r="B7" s="26" t="s">
        <v>275</v>
      </c>
      <c r="C7" s="26" t="s">
        <v>276</v>
      </c>
      <c r="D7" s="26" t="s">
        <v>263</v>
      </c>
      <c r="E7" s="26" t="s">
        <v>264</v>
      </c>
      <c r="F7" s="26" t="s">
        <v>277</v>
      </c>
      <c r="G7" s="26" t="s">
        <v>278</v>
      </c>
      <c r="H7" s="26" t="s">
        <v>267</v>
      </c>
      <c r="I7" s="26">
        <v>2</v>
      </c>
      <c r="J7" s="26" t="s">
        <v>268</v>
      </c>
      <c r="K7" s="26" t="s">
        <v>269</v>
      </c>
      <c r="L7" s="27"/>
      <c r="M7" s="26"/>
      <c r="N7" s="26"/>
      <c r="O7" s="26">
        <v>0</v>
      </c>
      <c r="P7" s="26" t="s">
        <v>271</v>
      </c>
      <c r="Q7" s="26" t="s">
        <v>272</v>
      </c>
      <c r="R7" s="26" t="s">
        <v>273</v>
      </c>
      <c r="S7" s="26"/>
      <c r="T7" s="26"/>
      <c r="U7" s="26"/>
      <c r="V7" s="26"/>
      <c r="W7" s="26"/>
      <c r="X7" s="26"/>
      <c r="Y7" s="26"/>
      <c r="Z7" s="26"/>
      <c r="AA7" s="26" t="s">
        <v>279</v>
      </c>
    </row>
    <row r="8" spans="1:27" x14ac:dyDescent="0.3">
      <c r="A8" s="13" t="str">
        <f t="shared" si="0"/>
        <v/>
      </c>
      <c r="B8" s="14"/>
      <c r="C8" s="14"/>
      <c r="D8" s="14"/>
      <c r="E8" s="14"/>
      <c r="F8" s="14"/>
      <c r="G8" s="14"/>
      <c r="H8" s="14"/>
      <c r="I8" s="14"/>
      <c r="J8" s="14"/>
      <c r="K8" s="14"/>
      <c r="L8" s="28"/>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8"/>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8"/>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8"/>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8"/>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8"/>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8"/>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8"/>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8"/>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8"/>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8"/>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8"/>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8"/>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8"/>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8"/>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8"/>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8"/>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8"/>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8"/>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8"/>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8"/>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8"/>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8"/>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8"/>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8"/>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8"/>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8"/>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8"/>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8"/>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8"/>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8"/>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8"/>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8"/>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8"/>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8"/>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8"/>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8"/>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8"/>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8"/>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8"/>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8"/>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8"/>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8"/>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8"/>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8"/>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8"/>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8"/>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8"/>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8"/>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8"/>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8"/>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8"/>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8"/>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8"/>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8"/>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8"/>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8"/>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8"/>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8"/>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30" t="s">
        <v>280</v>
      </c>
      <c r="C1" s="31"/>
      <c r="D1" s="31"/>
      <c r="E1" s="31"/>
      <c r="F1" s="31"/>
      <c r="G1" s="31"/>
      <c r="H1" s="31"/>
    </row>
    <row r="2" spans="1:8" ht="22.05" customHeight="1" x14ac:dyDescent="0.3">
      <c r="B2" s="34" t="s">
        <v>281</v>
      </c>
      <c r="C2" s="31"/>
      <c r="D2" s="31"/>
      <c r="E2" s="31"/>
      <c r="F2" s="31"/>
      <c r="G2" s="31"/>
      <c r="H2" s="31"/>
    </row>
    <row r="4" spans="1:8" x14ac:dyDescent="0.3">
      <c r="A4" s="9" t="s">
        <v>282</v>
      </c>
    </row>
    <row r="5" spans="1:8" ht="34.049999999999997" customHeight="1" x14ac:dyDescent="0.3">
      <c r="A5" s="10" t="s">
        <v>283</v>
      </c>
      <c r="B5" s="10" t="s">
        <v>284</v>
      </c>
      <c r="C5" s="10" t="s">
        <v>285</v>
      </c>
      <c r="D5" s="10" t="s">
        <v>286</v>
      </c>
      <c r="E5" s="10" t="s">
        <v>287</v>
      </c>
      <c r="F5" s="10" t="s">
        <v>288</v>
      </c>
      <c r="G5" s="10" t="s">
        <v>289</v>
      </c>
      <c r="H5" s="10" t="s">
        <v>259</v>
      </c>
    </row>
    <row r="6" spans="1:8" x14ac:dyDescent="0.3">
      <c r="A6" s="11" t="s">
        <v>270</v>
      </c>
      <c r="B6" s="11" t="s">
        <v>290</v>
      </c>
      <c r="C6" s="11" t="s">
        <v>291</v>
      </c>
      <c r="D6" s="11" t="s">
        <v>292</v>
      </c>
      <c r="E6" s="11" t="s">
        <v>293</v>
      </c>
      <c r="F6" s="11" t="s">
        <v>89</v>
      </c>
      <c r="G6" s="11" t="s">
        <v>294</v>
      </c>
      <c r="H6" s="11" t="s">
        <v>295</v>
      </c>
    </row>
    <row r="7" spans="1:8" ht="26.4" x14ac:dyDescent="0.3">
      <c r="A7" s="14" t="s">
        <v>270</v>
      </c>
      <c r="B7" s="14" t="s">
        <v>296</v>
      </c>
      <c r="C7" s="14"/>
      <c r="D7" s="14"/>
      <c r="E7" s="14"/>
      <c r="F7" s="14"/>
      <c r="G7" s="14"/>
      <c r="H7" s="14"/>
    </row>
    <row r="8" spans="1:8" ht="26.4" x14ac:dyDescent="0.3">
      <c r="A8" s="14" t="s">
        <v>297</v>
      </c>
      <c r="B8" s="14" t="s">
        <v>298</v>
      </c>
      <c r="C8" s="14"/>
      <c r="D8" s="14"/>
      <c r="E8" s="14"/>
      <c r="F8" s="14"/>
      <c r="G8" s="14"/>
      <c r="H8" s="14"/>
    </row>
    <row r="9" spans="1:8" ht="26.4" x14ac:dyDescent="0.3">
      <c r="A9" s="14" t="s">
        <v>299</v>
      </c>
      <c r="B9" s="14" t="s">
        <v>300</v>
      </c>
      <c r="C9" s="14"/>
      <c r="D9" s="14"/>
      <c r="E9" s="14"/>
      <c r="F9" s="14"/>
      <c r="G9" s="14"/>
      <c r="H9" s="14"/>
    </row>
    <row r="10" spans="1:8" x14ac:dyDescent="0.3">
      <c r="A10" s="14" t="s">
        <v>301</v>
      </c>
      <c r="B10" s="14" t="s">
        <v>302</v>
      </c>
      <c r="C10" s="14"/>
      <c r="D10" s="14"/>
      <c r="E10" s="14"/>
      <c r="F10" s="14"/>
      <c r="G10" s="14"/>
      <c r="H10" s="14"/>
    </row>
    <row r="11" spans="1:8" ht="26.4" x14ac:dyDescent="0.3">
      <c r="A11" s="14" t="s">
        <v>303</v>
      </c>
      <c r="B11" s="14" t="s">
        <v>304</v>
      </c>
      <c r="C11" s="14"/>
      <c r="D11" s="14"/>
      <c r="E11" s="14"/>
      <c r="F11" s="14"/>
      <c r="G11" s="14"/>
      <c r="H11" s="14"/>
    </row>
    <row r="12" spans="1:8" ht="26.4" x14ac:dyDescent="0.3">
      <c r="A12" s="14" t="s">
        <v>305</v>
      </c>
      <c r="B12" s="14" t="s">
        <v>306</v>
      </c>
      <c r="C12" s="14"/>
      <c r="D12" s="14"/>
      <c r="E12" s="14"/>
      <c r="F12" s="14"/>
      <c r="G12" s="14"/>
      <c r="H12" s="14"/>
    </row>
    <row r="13" spans="1:8" x14ac:dyDescent="0.3">
      <c r="A13" s="14" t="s">
        <v>271</v>
      </c>
      <c r="B13" s="14" t="s">
        <v>307</v>
      </c>
      <c r="C13" s="14"/>
      <c r="D13" s="14"/>
      <c r="E13" s="14"/>
      <c r="F13" s="14"/>
      <c r="G13" s="14"/>
      <c r="H13" s="14"/>
    </row>
    <row r="14" spans="1:8" x14ac:dyDescent="0.3">
      <c r="A14" s="14" t="s">
        <v>308</v>
      </c>
      <c r="B14" s="14" t="s">
        <v>309</v>
      </c>
      <c r="C14" s="14"/>
      <c r="D14" s="14"/>
      <c r="E14" s="14"/>
      <c r="F14" s="14"/>
      <c r="G14" s="14"/>
      <c r="H14" s="14"/>
    </row>
    <row r="15" spans="1:8" ht="26.4" x14ac:dyDescent="0.3">
      <c r="A15" s="14" t="s">
        <v>310</v>
      </c>
      <c r="B15" s="14" t="s">
        <v>311</v>
      </c>
      <c r="C15" s="14"/>
      <c r="D15" s="14"/>
      <c r="E15" s="14"/>
      <c r="F15" s="14"/>
      <c r="G15" s="14"/>
      <c r="H15" s="14"/>
    </row>
    <row r="16" spans="1:8" ht="26.4" x14ac:dyDescent="0.3">
      <c r="A16" s="14" t="s">
        <v>312</v>
      </c>
      <c r="B16" s="14" t="s">
        <v>313</v>
      </c>
      <c r="C16" s="14"/>
      <c r="D16" s="14"/>
      <c r="E16" s="14"/>
      <c r="F16" s="14"/>
      <c r="G16" s="14"/>
      <c r="H16" s="14"/>
    </row>
    <row r="17" spans="1:8" ht="26.4" x14ac:dyDescent="0.3">
      <c r="A17" s="14" t="s">
        <v>314</v>
      </c>
      <c r="B17" s="14" t="s">
        <v>315</v>
      </c>
      <c r="C17" s="14"/>
      <c r="D17" s="14"/>
      <c r="E17" s="14"/>
      <c r="F17" s="14"/>
      <c r="G17" s="14"/>
      <c r="H17" s="14"/>
    </row>
    <row r="18" spans="1:8" ht="26.4" x14ac:dyDescent="0.3">
      <c r="A18" s="14" t="s">
        <v>316</v>
      </c>
      <c r="B18" s="14" t="s">
        <v>317</v>
      </c>
      <c r="C18" s="14"/>
      <c r="D18" s="14"/>
      <c r="E18" s="14"/>
      <c r="F18" s="14"/>
      <c r="G18" s="14"/>
      <c r="H18" s="14"/>
    </row>
    <row r="19" spans="1:8" ht="26.4" x14ac:dyDescent="0.3">
      <c r="A19" s="14" t="s">
        <v>216</v>
      </c>
      <c r="B19" s="14" t="s">
        <v>318</v>
      </c>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9" t="s">
        <v>97</v>
      </c>
      <c r="B1" s="29" t="s">
        <v>101</v>
      </c>
      <c r="C1" s="29" t="s">
        <v>319</v>
      </c>
      <c r="D1" s="29" t="s">
        <v>320</v>
      </c>
      <c r="E1" s="29" t="s">
        <v>237</v>
      </c>
      <c r="F1" s="29" t="s">
        <v>321</v>
      </c>
      <c r="G1" s="29" t="s">
        <v>242</v>
      </c>
      <c r="H1" s="29" t="s">
        <v>243</v>
      </c>
      <c r="I1" s="29" t="s">
        <v>322</v>
      </c>
      <c r="J1" s="29" t="s">
        <v>323</v>
      </c>
      <c r="K1" s="29" t="s">
        <v>324</v>
      </c>
      <c r="L1" s="29" t="s">
        <v>325</v>
      </c>
      <c r="M1" s="29" t="s">
        <v>326</v>
      </c>
      <c r="N1" s="29" t="s">
        <v>327</v>
      </c>
      <c r="O1" s="29" t="s">
        <v>328</v>
      </c>
    </row>
    <row r="2" spans="1:15" x14ac:dyDescent="0.3">
      <c r="A2" t="s">
        <v>119</v>
      </c>
      <c r="B2" t="s">
        <v>112</v>
      </c>
      <c r="C2" t="s">
        <v>123</v>
      </c>
      <c r="D2" t="s">
        <v>263</v>
      </c>
      <c r="E2" t="s">
        <v>264</v>
      </c>
      <c r="F2" t="s">
        <v>262</v>
      </c>
      <c r="G2" t="s">
        <v>329</v>
      </c>
      <c r="H2" t="s">
        <v>269</v>
      </c>
      <c r="I2" t="s">
        <v>273</v>
      </c>
      <c r="J2" t="s">
        <v>89</v>
      </c>
      <c r="K2" t="s">
        <v>66</v>
      </c>
      <c r="L2" t="s">
        <v>92</v>
      </c>
      <c r="M2" t="s">
        <v>330</v>
      </c>
      <c r="N2" t="s">
        <v>331</v>
      </c>
      <c r="O2" t="s">
        <v>270</v>
      </c>
    </row>
    <row r="3" spans="1:15" x14ac:dyDescent="0.3">
      <c r="A3" t="s">
        <v>175</v>
      </c>
      <c r="B3" t="s">
        <v>332</v>
      </c>
      <c r="C3" t="s">
        <v>333</v>
      </c>
      <c r="D3" t="s">
        <v>334</v>
      </c>
      <c r="E3" t="s">
        <v>335</v>
      </c>
      <c r="F3" t="s">
        <v>276</v>
      </c>
      <c r="G3" t="s">
        <v>268</v>
      </c>
      <c r="H3" t="s">
        <v>336</v>
      </c>
      <c r="I3" t="s">
        <v>337</v>
      </c>
      <c r="J3" t="s">
        <v>294</v>
      </c>
      <c r="K3" t="s">
        <v>338</v>
      </c>
      <c r="L3" t="s">
        <v>339</v>
      </c>
      <c r="M3" t="s">
        <v>340</v>
      </c>
      <c r="N3" t="s">
        <v>341</v>
      </c>
      <c r="O3" t="s">
        <v>297</v>
      </c>
    </row>
    <row r="4" spans="1:15" x14ac:dyDescent="0.3">
      <c r="A4" t="s">
        <v>137</v>
      </c>
      <c r="B4" t="s">
        <v>342</v>
      </c>
      <c r="C4" t="s">
        <v>343</v>
      </c>
      <c r="D4" t="s">
        <v>344</v>
      </c>
      <c r="E4" t="s">
        <v>345</v>
      </c>
      <c r="F4" t="s">
        <v>346</v>
      </c>
      <c r="G4" t="s">
        <v>347</v>
      </c>
      <c r="I4" t="s">
        <v>348</v>
      </c>
      <c r="K4" t="s">
        <v>349</v>
      </c>
      <c r="M4" t="s">
        <v>350</v>
      </c>
      <c r="N4" t="s">
        <v>351</v>
      </c>
      <c r="O4" t="s">
        <v>299</v>
      </c>
    </row>
    <row r="5" spans="1:15" x14ac:dyDescent="0.3">
      <c r="A5" t="s">
        <v>352</v>
      </c>
      <c r="B5" t="s">
        <v>353</v>
      </c>
      <c r="C5" t="s">
        <v>354</v>
      </c>
      <c r="D5" t="s">
        <v>355</v>
      </c>
      <c r="E5" t="s">
        <v>356</v>
      </c>
      <c r="F5" t="s">
        <v>357</v>
      </c>
      <c r="G5" t="s">
        <v>358</v>
      </c>
      <c r="I5" t="s">
        <v>359</v>
      </c>
      <c r="K5" t="s">
        <v>360</v>
      </c>
      <c r="M5" t="s">
        <v>361</v>
      </c>
      <c r="N5" t="s">
        <v>362</v>
      </c>
      <c r="O5" t="s">
        <v>301</v>
      </c>
    </row>
    <row r="6" spans="1:15" x14ac:dyDescent="0.3">
      <c r="A6" t="s">
        <v>108</v>
      </c>
      <c r="C6" t="s">
        <v>117</v>
      </c>
      <c r="D6" t="s">
        <v>363</v>
      </c>
      <c r="E6" t="s">
        <v>364</v>
      </c>
      <c r="F6" t="s">
        <v>365</v>
      </c>
      <c r="K6" t="s">
        <v>366</v>
      </c>
      <c r="M6" t="s">
        <v>367</v>
      </c>
      <c r="N6" t="s">
        <v>368</v>
      </c>
      <c r="O6" t="s">
        <v>303</v>
      </c>
    </row>
    <row r="7" spans="1:15" x14ac:dyDescent="0.3">
      <c r="A7" t="s">
        <v>369</v>
      </c>
      <c r="D7" t="s">
        <v>370</v>
      </c>
      <c r="F7" t="s">
        <v>371</v>
      </c>
      <c r="M7" t="s">
        <v>88</v>
      </c>
      <c r="N7" t="s">
        <v>372</v>
      </c>
      <c r="O7" t="s">
        <v>305</v>
      </c>
    </row>
    <row r="8" spans="1:15" x14ac:dyDescent="0.3">
      <c r="A8" t="s">
        <v>373</v>
      </c>
      <c r="D8" t="s">
        <v>374</v>
      </c>
      <c r="M8" t="s">
        <v>375</v>
      </c>
      <c r="N8" t="s">
        <v>376</v>
      </c>
      <c r="O8" t="s">
        <v>271</v>
      </c>
    </row>
    <row r="9" spans="1:15" x14ac:dyDescent="0.3">
      <c r="A9" t="s">
        <v>377</v>
      </c>
      <c r="D9" t="s">
        <v>378</v>
      </c>
      <c r="M9" t="s">
        <v>379</v>
      </c>
      <c r="N9" t="s">
        <v>379</v>
      </c>
      <c r="O9" t="s">
        <v>308</v>
      </c>
    </row>
    <row r="10" spans="1:15" x14ac:dyDescent="0.3">
      <c r="A10" t="s">
        <v>380</v>
      </c>
      <c r="D10" t="s">
        <v>381</v>
      </c>
      <c r="M10" t="s">
        <v>382</v>
      </c>
      <c r="N10" t="s">
        <v>383</v>
      </c>
      <c r="O10" t="s">
        <v>310</v>
      </c>
    </row>
    <row r="11" spans="1:15" x14ac:dyDescent="0.3">
      <c r="A11" t="s">
        <v>371</v>
      </c>
      <c r="D11" t="s">
        <v>384</v>
      </c>
      <c r="M11" t="s">
        <v>385</v>
      </c>
      <c r="N11" t="s">
        <v>386</v>
      </c>
      <c r="O11" t="s">
        <v>312</v>
      </c>
    </row>
    <row r="12" spans="1:15" x14ac:dyDescent="0.3">
      <c r="D12" t="s">
        <v>371</v>
      </c>
      <c r="M12" t="s">
        <v>387</v>
      </c>
      <c r="N12" t="s">
        <v>388</v>
      </c>
      <c r="O12" t="s">
        <v>314</v>
      </c>
    </row>
    <row r="13" spans="1:15" x14ac:dyDescent="0.3">
      <c r="M13" t="s">
        <v>389</v>
      </c>
      <c r="N13" t="s">
        <v>390</v>
      </c>
      <c r="O13" t="s">
        <v>316</v>
      </c>
    </row>
    <row r="14" spans="1:15" x14ac:dyDescent="0.3">
      <c r="M14" t="s">
        <v>391</v>
      </c>
      <c r="N14" t="s">
        <v>392</v>
      </c>
      <c r="O14" t="s">
        <v>216</v>
      </c>
    </row>
    <row r="15" spans="1:15" x14ac:dyDescent="0.3">
      <c r="M15" t="s">
        <v>393</v>
      </c>
      <c r="N15" t="s">
        <v>394</v>
      </c>
    </row>
    <row r="16" spans="1:15" x14ac:dyDescent="0.3">
      <c r="M16" t="s">
        <v>395</v>
      </c>
      <c r="N16" t="s">
        <v>396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Instructions</vt:lpstr>
      <vt:lpstr>Service Catalog</vt:lpstr>
      <vt:lpstr>Request Form Fields</vt:lpstr>
      <vt:lpstr>Other Requirements</vt:lpstr>
      <vt:lpstr>BR-006 Impact</vt:lpstr>
      <vt:lpstr>BR-007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2026-10-21T10:45:52Z</dcterms:created>
  <dcterms:modified xsi:type="dcterms:W3CDTF">2026-10-21T10:46:08Z</dcterms:modified>
</cp:coreProperties>
</file>