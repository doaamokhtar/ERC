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516" yWindow="600" windowWidth="15996" windowHeight="7092"/>
  </bookViews>
  <sheets>
    <sheet name="Instructions" sheetId="1" r:id="rId1"/>
    <sheet name="Service Catalog" sheetId="2" r:id="rId2"/>
    <sheet name="Request Form Fields" sheetId="3" r:id="rId3"/>
    <sheet name="Other Requirements" sheetId="4" r:id="rId4"/>
    <sheet name="BR-006 Impact" sheetId="5" r:id="rId5"/>
    <sheet name="BR-007 Impact" sheetId="6" r:id="rId6"/>
    <sheet name="SLA" sheetId="7" r:id="rId7"/>
    <sheet name="Groups &amp; Contacts" sheetId="8" r:id="rId8"/>
    <sheet name="Lists" sheetId="9" state="hidden" r:id="rId9"/>
  </sheets>
  <definedNames>
    <definedName name="Area">Lists!$A$2:$A$11</definedName>
    <definedName name="Calendar">Lists!$H$2:$H$3</definedName>
    <definedName name="Channel">Lists!$I$2:$I$5</definedName>
    <definedName name="FieldType">Lists!$M$2:$M$16</definedName>
    <definedName name="FilledBy">Lists!$L$2:$L$3</definedName>
    <definedName name="GroupNames">Lists!$O$2:$O$14</definedName>
    <definedName name="JiraField">Lists!$N$2:$N$16</definedName>
    <definedName name="Priority">Lists!$B$2:$B$5</definedName>
    <definedName name="ReportCategory">Lists!$D$2:$D$12</definedName>
    <definedName name="ReqStatus">Lists!$C$2:$C$6</definedName>
    <definedName name="Requesters">Lists!$K$2:$K$6</definedName>
    <definedName name="ServiceNames">'Service Catalog'!$C$6:$C$66</definedName>
    <definedName name="Severity">Lists!$E$2:$E$6</definedName>
    <definedName name="Stage">Lists!$F$2:$F$7</definedName>
    <definedName name="Unit">Lists!$G$2:$G$5</definedName>
    <definedName name="YesNo">Lists!$J$2:$J$3</definedName>
  </definedNames>
  <calcPr calcId="145621"/>
</workbook>
</file>

<file path=xl/calcChain.xml><?xml version="1.0" encoding="utf-8"?>
<calcChain xmlns="http://schemas.openxmlformats.org/spreadsheetml/2006/main">
  <c r="A66" i="7" l="1"/>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K66" i="3"/>
  <c r="A66" i="3"/>
  <c r="K65" i="3"/>
  <c r="A65" i="3"/>
  <c r="K64" i="3"/>
  <c r="A64" i="3"/>
  <c r="K63" i="3"/>
  <c r="A63" i="3"/>
  <c r="K62" i="3"/>
  <c r="A62" i="3"/>
  <c r="K61" i="3"/>
  <c r="A61" i="3"/>
  <c r="K60" i="3"/>
  <c r="A60" i="3"/>
  <c r="K59" i="3"/>
  <c r="A59" i="3"/>
  <c r="K58" i="3"/>
  <c r="A58" i="3"/>
  <c r="K57" i="3"/>
  <c r="A57" i="3"/>
  <c r="K56" i="3"/>
  <c r="A56" i="3"/>
  <c r="K55" i="3"/>
  <c r="A55" i="3"/>
  <c r="K54" i="3"/>
  <c r="A54" i="3"/>
  <c r="K53" i="3"/>
  <c r="A53" i="3"/>
  <c r="K52" i="3"/>
  <c r="A52" i="3"/>
  <c r="K51" i="3"/>
  <c r="A51" i="3"/>
  <c r="K50" i="3"/>
  <c r="A50" i="3"/>
  <c r="K49" i="3"/>
  <c r="A49" i="3"/>
  <c r="K48" i="3"/>
  <c r="A48" i="3"/>
  <c r="K47" i="3"/>
  <c r="A47" i="3"/>
  <c r="K46" i="3"/>
  <c r="A46" i="3"/>
  <c r="K45" i="3"/>
  <c r="A45" i="3"/>
  <c r="K44" i="3"/>
  <c r="A44" i="3"/>
  <c r="K43" i="3"/>
  <c r="A43" i="3"/>
  <c r="K42" i="3"/>
  <c r="A42" i="3"/>
  <c r="K41" i="3"/>
  <c r="A41" i="3"/>
  <c r="K40" i="3"/>
  <c r="A40" i="3"/>
  <c r="K39" i="3"/>
  <c r="A39" i="3"/>
  <c r="K38" i="3"/>
  <c r="A38" i="3"/>
  <c r="K37" i="3"/>
  <c r="A37" i="3"/>
  <c r="K36" i="3"/>
  <c r="A36" i="3"/>
  <c r="K35" i="3"/>
  <c r="A35" i="3"/>
  <c r="K34" i="3"/>
  <c r="A34" i="3"/>
  <c r="K33" i="3"/>
  <c r="A33" i="3"/>
  <c r="K32" i="3"/>
  <c r="A32" i="3"/>
  <c r="K31" i="3"/>
  <c r="A31" i="3"/>
  <c r="K30" i="3"/>
  <c r="A30" i="3"/>
  <c r="K29" i="3"/>
  <c r="A29" i="3"/>
  <c r="K28" i="3"/>
  <c r="A28" i="3"/>
  <c r="K27" i="3"/>
  <c r="A27" i="3"/>
  <c r="K26" i="3"/>
  <c r="A26" i="3"/>
  <c r="K25" i="3"/>
  <c r="A25" i="3"/>
  <c r="K24" i="3"/>
  <c r="A24" i="3"/>
  <c r="K23" i="3"/>
  <c r="A23" i="3"/>
  <c r="K22" i="3"/>
  <c r="A22" i="3"/>
  <c r="K21" i="3"/>
  <c r="A21" i="3"/>
  <c r="K20" i="3"/>
  <c r="A20" i="3"/>
  <c r="K19" i="3"/>
  <c r="A19" i="3"/>
  <c r="K18" i="3"/>
  <c r="A18" i="3"/>
  <c r="K17" i="3"/>
  <c r="A17" i="3"/>
  <c r="K16" i="3"/>
  <c r="A16" i="3"/>
  <c r="K15" i="3"/>
  <c r="A15" i="3"/>
  <c r="K14" i="3"/>
  <c r="A14" i="3"/>
  <c r="K13" i="3"/>
  <c r="A13" i="3"/>
  <c r="K12" i="3"/>
  <c r="A12" i="3"/>
  <c r="K11" i="3"/>
  <c r="A11" i="3"/>
  <c r="K10" i="3"/>
  <c r="A10" i="3"/>
  <c r="K9" i="3"/>
  <c r="A9" i="3"/>
  <c r="K8" i="3"/>
  <c r="A8" i="3"/>
  <c r="K7" i="3"/>
  <c r="A7" i="3"/>
  <c r="K6" i="3"/>
  <c r="M66" i="2"/>
  <c r="L66" i="2"/>
  <c r="A66" i="2"/>
  <c r="M65" i="2"/>
  <c r="L65" i="2"/>
  <c r="A65" i="2"/>
  <c r="M64" i="2"/>
  <c r="L64" i="2"/>
  <c r="A64" i="2"/>
  <c r="M63" i="2"/>
  <c r="L63" i="2"/>
  <c r="A63" i="2"/>
  <c r="M62" i="2"/>
  <c r="L62" i="2"/>
  <c r="A62" i="2"/>
  <c r="M61" i="2"/>
  <c r="L61" i="2"/>
  <c r="A61" i="2"/>
  <c r="M60" i="2"/>
  <c r="L60" i="2"/>
  <c r="A60" i="2"/>
  <c r="M59" i="2"/>
  <c r="L59" i="2"/>
  <c r="A59" i="2"/>
  <c r="M58" i="2"/>
  <c r="L58" i="2"/>
  <c r="A58" i="2"/>
  <c r="M57" i="2"/>
  <c r="L57" i="2"/>
  <c r="A57" i="2"/>
  <c r="M56" i="2"/>
  <c r="L56" i="2"/>
  <c r="A56" i="2"/>
  <c r="M55" i="2"/>
  <c r="L55" i="2"/>
  <c r="A55" i="2"/>
  <c r="M54" i="2"/>
  <c r="L54" i="2"/>
  <c r="A54" i="2"/>
  <c r="M53" i="2"/>
  <c r="L53" i="2"/>
  <c r="A53" i="2"/>
  <c r="M52" i="2"/>
  <c r="L52" i="2"/>
  <c r="A52" i="2"/>
  <c r="M51" i="2"/>
  <c r="L51" i="2"/>
  <c r="A51" i="2"/>
  <c r="M50" i="2"/>
  <c r="L50" i="2"/>
  <c r="A50" i="2"/>
  <c r="M49" i="2"/>
  <c r="L49" i="2"/>
  <c r="A49" i="2"/>
  <c r="M48" i="2"/>
  <c r="L48" i="2"/>
  <c r="A48" i="2"/>
  <c r="M47" i="2"/>
  <c r="L47" i="2"/>
  <c r="A47" i="2"/>
  <c r="M46" i="2"/>
  <c r="L46" i="2"/>
  <c r="A46" i="2"/>
  <c r="M45" i="2"/>
  <c r="L45" i="2"/>
  <c r="A45" i="2"/>
  <c r="M44" i="2"/>
  <c r="L44" i="2"/>
  <c r="A44" i="2"/>
  <c r="M43" i="2"/>
  <c r="L43" i="2"/>
  <c r="A43" i="2"/>
  <c r="M42" i="2"/>
  <c r="L42" i="2"/>
  <c r="A42" i="2"/>
  <c r="M41" i="2"/>
  <c r="L41" i="2"/>
  <c r="A41" i="2"/>
  <c r="M40" i="2"/>
  <c r="L40" i="2"/>
  <c r="A40" i="2"/>
  <c r="M39" i="2"/>
  <c r="L39" i="2"/>
  <c r="A39" i="2"/>
  <c r="M38" i="2"/>
  <c r="L38" i="2"/>
  <c r="A38" i="2"/>
  <c r="M37" i="2"/>
  <c r="L37" i="2"/>
  <c r="A37" i="2"/>
  <c r="M36" i="2"/>
  <c r="L36" i="2"/>
  <c r="A36" i="2"/>
  <c r="M35" i="2"/>
  <c r="L35" i="2"/>
  <c r="A35" i="2"/>
  <c r="M34" i="2"/>
  <c r="L34" i="2"/>
  <c r="A34" i="2"/>
  <c r="M33" i="2"/>
  <c r="L33" i="2"/>
  <c r="A33" i="2"/>
  <c r="M32" i="2"/>
  <c r="L32" i="2"/>
  <c r="A32" i="2"/>
  <c r="M31" i="2"/>
  <c r="L31" i="2"/>
  <c r="A31" i="2"/>
  <c r="M30" i="2"/>
  <c r="L30" i="2"/>
  <c r="A30" i="2"/>
  <c r="M29" i="2"/>
  <c r="L29" i="2"/>
  <c r="A29" i="2"/>
  <c r="M28" i="2"/>
  <c r="L28" i="2"/>
  <c r="A28" i="2"/>
  <c r="M27" i="2"/>
  <c r="L27" i="2"/>
  <c r="A27" i="2"/>
  <c r="M26" i="2"/>
  <c r="L26" i="2"/>
  <c r="A26" i="2"/>
  <c r="M25" i="2"/>
  <c r="L25" i="2"/>
  <c r="A25" i="2"/>
  <c r="M24" i="2"/>
  <c r="L24" i="2"/>
  <c r="A24" i="2"/>
  <c r="M23" i="2"/>
  <c r="L23" i="2"/>
  <c r="A23" i="2"/>
  <c r="M22" i="2"/>
  <c r="L22" i="2"/>
  <c r="A22" i="2"/>
  <c r="M21" i="2"/>
  <c r="L21" i="2"/>
  <c r="A21" i="2"/>
  <c r="M20" i="2"/>
  <c r="L20" i="2"/>
  <c r="A20" i="2"/>
  <c r="M19" i="2"/>
  <c r="L19" i="2"/>
  <c r="A19" i="2"/>
  <c r="M18" i="2"/>
  <c r="L18" i="2"/>
  <c r="A18" i="2"/>
  <c r="M17" i="2"/>
  <c r="L17" i="2"/>
  <c r="A17" i="2"/>
  <c r="M16" i="2"/>
  <c r="L16" i="2"/>
  <c r="A16" i="2"/>
  <c r="M15" i="2"/>
  <c r="L15" i="2"/>
  <c r="A15" i="2"/>
  <c r="M14" i="2"/>
  <c r="L14" i="2"/>
  <c r="A14" i="2"/>
  <c r="M13" i="2"/>
  <c r="L13" i="2"/>
  <c r="A13" i="2"/>
  <c r="M12" i="2"/>
  <c r="L12" i="2"/>
  <c r="A12" i="2"/>
  <c r="M11" i="2"/>
  <c r="L11" i="2"/>
  <c r="A11" i="2"/>
  <c r="M10" i="2"/>
  <c r="L10" i="2"/>
  <c r="A10" i="2"/>
  <c r="M9" i="2"/>
  <c r="L9" i="2"/>
  <c r="A9" i="2"/>
  <c r="M8" i="2"/>
  <c r="L8" i="2"/>
  <c r="A8" i="2"/>
  <c r="M7" i="2"/>
  <c r="L7" i="2"/>
  <c r="A7" i="2"/>
  <c r="M6" i="2"/>
  <c r="L6" i="2"/>
  <c r="C34" i="1"/>
  <c r="C33" i="1"/>
  <c r="C32" i="1"/>
  <c r="C31" i="1"/>
  <c r="C30" i="1"/>
  <c r="C29" i="1"/>
</calcChain>
</file>

<file path=xl/comments1.xml><?xml version="1.0" encoding="utf-8"?>
<comments xmlns="http://schemas.openxmlformats.org/spreadsheetml/2006/main">
  <authors>
    <author>Ejada</author>
  </authors>
  <commentList>
    <comment ref="E5" authorId="0">
      <text>
        <r>
          <rPr>
            <sz val="11"/>
            <color theme="1"/>
            <rFont val="Calibri"/>
            <family val="2"/>
            <scheme val="minor"/>
          </rPr>
          <t>Anonymous = a public portal with no sign-in. Specific departments or groups: name them in Notes.</t>
        </r>
      </text>
    </comment>
    <comment ref="F5" authorId="0">
      <text>
        <r>
          <rPr>
            <sz val="11"/>
            <color theme="1"/>
            <rFont val="Calibri"/>
            <family val="2"/>
            <scheme val="minor"/>
          </rPr>
          <t>Free text: the role (e.g. Requester's Department Head) or the team/person who approves first. Write '-' if no approval is needed.</t>
        </r>
      </text>
    </comment>
    <comment ref="G5" authorId="0">
      <text>
        <r>
          <rPr>
            <sz val="11"/>
            <color theme="1"/>
            <rFont val="Calibri"/>
            <family val="2"/>
            <scheme val="minor"/>
          </rPr>
          <t>Free text: who approves after Level 1. Write '-' if none.</t>
        </r>
      </text>
    </comment>
    <comment ref="H5" authorId="0">
      <text>
        <r>
          <rPr>
            <sz val="11"/>
            <color theme="1"/>
            <rFont val="Calibri"/>
            <family val="2"/>
            <scheme val="minor"/>
          </rPr>
          <t>Free text: who approves after Level 2. Write '-' if none.</t>
        </r>
      </text>
    </comment>
    <comment ref="I5" authorId="0">
      <text>
        <r>
          <rPr>
            <sz val="11"/>
            <color theme="1"/>
            <rFont val="Calibri"/>
            <family val="2"/>
            <scheme val="minor"/>
          </rPr>
          <t>Free text: the team that receives and works the request first.</t>
        </r>
      </text>
    </comment>
    <comment ref="J5" authorId="0">
      <text>
        <r>
          <rPr>
            <sz val="11"/>
            <color theme="1"/>
            <rFont val="Calibri"/>
            <family val="2"/>
            <scheme val="minor"/>
          </rPr>
          <t>Free text: the team it is handed to next. Write '-' if none.</t>
        </r>
      </text>
    </comment>
    <comment ref="L5" authorId="0">
      <text>
        <r>
          <rPr>
            <sz val="11"/>
            <color theme="1"/>
            <rFont val="Calibri"/>
            <family val="2"/>
            <scheme val="minor"/>
          </rPr>
          <t>Automatic: how many approval levels this service needs.</t>
        </r>
      </text>
    </comment>
    <comment ref="M5" authorId="0">
      <text>
        <r>
          <rPr>
            <sz val="11"/>
            <color theme="1"/>
            <rFont val="Calibri"/>
            <family val="2"/>
            <scheme val="minor"/>
          </rPr>
          <t>Automatic: how many fields are listed for this service on the 'Request Form Fields' sheet.</t>
        </r>
      </text>
    </comment>
  </commentList>
</comments>
</file>

<file path=xl/comments2.xml><?xml version="1.0" encoding="utf-8"?>
<comments xmlns="http://schemas.openxmlformats.org/spreadsheetml/2006/main">
  <authors>
    <author>Ejada</author>
  </authors>
  <commentList>
    <comment ref="F5" authorId="0">
      <text>
        <r>
          <rPr>
            <sz val="11"/>
            <color theme="1"/>
            <rFont val="Calibri"/>
            <family val="2"/>
            <scheme val="minor"/>
          </rPr>
          <t>Pick the closest type; the grey 'Jira: field type' column shows what it becomes in Jira.</t>
        </r>
      </text>
    </comment>
    <comment ref="H5" authorId="0">
      <text>
        <r>
          <rPr>
            <sz val="11"/>
            <color theme="1"/>
            <rFont val="Calibri"/>
            <family val="2"/>
            <scheme val="minor"/>
          </rPr>
          <t>Only for Dropdown and Checkboxes, e.g. High; Medium; Low.</t>
        </r>
      </text>
    </comment>
    <comment ref="J5" authorId="0">
      <text>
        <r>
          <rPr>
            <sz val="11"/>
            <color theme="1"/>
            <rFont val="Calibri"/>
            <family val="2"/>
            <scheme val="minor"/>
          </rPr>
          <t>Internal team only = hidden from the requester, filled in by the team that works the request.</t>
        </r>
      </text>
    </comment>
    <comment ref="K5" authorId="0">
      <text>
        <r>
          <rPr>
            <sz val="11"/>
            <color theme="1"/>
            <rFont val="Calibri"/>
            <family val="2"/>
            <scheme val="minor"/>
          </rPr>
          <t>Automatic, from 'Field type'.</t>
        </r>
      </text>
    </comment>
  </commentList>
</comments>
</file>

<file path=xl/comments3.xml><?xml version="1.0" encoding="utf-8"?>
<comments xmlns="http://schemas.openxmlformats.org/spreadsheetml/2006/main">
  <authors>
    <author>Ejada</author>
  </authors>
  <commentList>
    <comment ref="F5" authorId="0">
      <text>
        <r>
          <rPr>
            <sz val="11"/>
            <color theme="1"/>
            <rFont val="Calibri"/>
            <family val="2"/>
            <scheme val="minor"/>
          </rPr>
          <t>Must have = go-live blocker. Should have = important, can follow shortly after. Could have = nice to have.</t>
        </r>
      </text>
    </comment>
    <comment ref="I5" authorId="0">
      <text>
        <r>
          <rPr>
            <sz val="11"/>
            <color theme="1"/>
            <rFont val="Calibri"/>
            <family val="2"/>
            <scheme val="minor"/>
          </rPr>
          <t>Describe the test that proves the requirement is met.</t>
        </r>
      </text>
    </comment>
    <comment ref="K5" authorId="0">
      <text>
        <r>
          <rPr>
            <sz val="11"/>
            <color theme="1"/>
            <rFont val="Calibri"/>
            <family val="2"/>
            <scheme val="minor"/>
          </rPr>
          <t>Filled in jointly with Ejada during review.</t>
        </r>
      </text>
    </comment>
  </commentList>
</comments>
</file>

<file path=xl/comments4.xml><?xml version="1.0" encoding="utf-8"?>
<comments xmlns="http://schemas.openxmlformats.org/spreadsheetml/2006/main">
  <authors>
    <author>Ejada</author>
  </authors>
  <commentList>
    <comment ref="D5" authorId="0">
      <text>
        <r>
          <rPr>
            <sz val="11"/>
            <color theme="1"/>
            <rFont val="Calibri"/>
            <family val="2"/>
            <scheme val="minor"/>
          </rPr>
          <t>Leave 'All categories' unless a category needs its own target - then add one row per category.</t>
        </r>
      </text>
    </comment>
    <comment ref="E5" authorId="0">
      <text>
        <r>
          <rPr>
            <sz val="11"/>
            <color theme="1"/>
            <rFont val="Calibri"/>
            <family val="2"/>
            <scheme val="minor"/>
          </rPr>
          <t>Leave 'All severities' unless targets differ by severity - then add one row per severity.</t>
        </r>
      </text>
    </comment>
    <comment ref="L5" authorId="0">
      <text>
        <r>
          <rPr>
            <sz val="11"/>
            <color theme="1"/>
            <rFont val="Calibri"/>
            <family val="2"/>
            <scheme val="minor"/>
          </rPr>
          <t>e.g. 75% sends a warning when three quarters of the time is used, before the breach.</t>
        </r>
      </text>
    </comment>
    <comment ref="O5" authorId="0">
      <text>
        <r>
          <rPr>
            <sz val="11"/>
            <color theme="1"/>
            <rFont val="Calibri"/>
            <family val="2"/>
            <scheme val="minor"/>
          </rPr>
          <t>0 = at the moment of breach. 1 = one unit (e.g. one working day) after.</t>
        </r>
      </text>
    </comment>
  </commentList>
</comments>
</file>

<file path=xl/sharedStrings.xml><?xml version="1.0" encoding="utf-8"?>
<sst xmlns="http://schemas.openxmlformats.org/spreadsheetml/2006/main" count="491" uniqueCount="397">
  <si>
    <t>Whistleblowing Reporting Portal - Requirements Template</t>
  </si>
  <si>
    <t>Service catalog, request forms, SLA and groups - to be completed by ERC</t>
  </si>
  <si>
    <t>How to fill in this workbook</t>
  </si>
  <si>
    <t>Yellow cell</t>
  </si>
  <si>
    <t>For you to fill in.</t>
  </si>
  <si>
    <t>Grey italic row</t>
  </si>
  <si>
    <t>An example of the expected format. Overwrite it or leave it.</t>
  </si>
  <si>
    <t>Dropdown</t>
  </si>
  <si>
    <t>Click the cell and pick from the list. Lists can be extended on request.</t>
  </si>
  <si>
    <t>Red note marker</t>
  </si>
  <si>
    <t>Hover over a column header with a red corner for guidance.</t>
  </si>
  <si>
    <t>Sheets</t>
  </si>
  <si>
    <t>Service Catalog</t>
  </si>
  <si>
    <t>One row per service on the portal: who can request it, who approves (up to 3 levels) and which team delivers it.</t>
  </si>
  <si>
    <t>Request Form Fields</t>
  </si>
  <si>
    <t>One row per field on a service's request form: label (English and Arabic), type, required or not, dropdown options.</t>
  </si>
  <si>
    <t>Other Requirements</t>
  </si>
  <si>
    <t>Anything that is not a service or a field: notifications, reports, access rules, data retention.</t>
  </si>
  <si>
    <t>BR-006 Impact</t>
  </si>
  <si>
    <t>What the escalation branch (BR-006) changes in today's setup, and the decisions needed - answer in the yellow 'ERC answer' cells.</t>
  </si>
  <si>
    <t>BR-007 Impact</t>
  </si>
  <si>
    <t>The same for the five new investigation functions (BR-007).</t>
  </si>
  <si>
    <t>SLA</t>
  </si>
  <si>
    <t>One row per service level: what is measured, the target, and who is warned and escalated to (group + email) at each level.</t>
  </si>
  <si>
    <t>Groups &amp; Contacts</t>
  </si>
  <si>
    <t>Who belongs to each group, their email, and whether they need a Jira licence.</t>
  </si>
  <si>
    <t>Document details</t>
  </si>
  <si>
    <t>Customer</t>
  </si>
  <si>
    <t>Expo 2030 Riyadh Company (ERC)</t>
  </si>
  <si>
    <t>Service</t>
  </si>
  <si>
    <t>Whistleblowing Reporting Portal (Jira Service Management)</t>
  </si>
  <si>
    <t>Template version</t>
  </si>
  <si>
    <t>1.4</t>
  </si>
  <si>
    <t>Prepared by (Ejada)</t>
  </si>
  <si>
    <t>Doaa Mokhtar</t>
  </si>
  <si>
    <t>Completed by (name, role)</t>
  </si>
  <si>
    <t>Date completed</t>
  </si>
  <si>
    <t>Approved by (name, role)</t>
  </si>
  <si>
    <t>Progress</t>
  </si>
  <si>
    <t>Services entered</t>
  </si>
  <si>
    <t>Form fields entered</t>
  </si>
  <si>
    <t>Other requirements entered</t>
  </si>
  <si>
    <t>Other requirements approved</t>
  </si>
  <si>
    <t>SLA rows entered</t>
  </si>
  <si>
    <t>Group members entered</t>
  </si>
  <si>
    <t>Confidentiality: do not enter details of real reports in this workbook - only requirements and contacts.</t>
  </si>
  <si>
    <t>One row per service - each row becomes one request type on the portal</t>
  </si>
  <si>
    <t>Row 6 is a worked example - copy its style. Repeat the category on every row (do not merge cells). Approvals and teams are free text: write the role or the team name, or '-' if none. Grey columns fill in automatically.</t>
  </si>
  <si>
    <t>Service ID</t>
  </si>
  <si>
    <t>Service Group / Category
فئة الخدمة</t>
  </si>
  <si>
    <t>Service Name
اسم الخدمة</t>
  </si>
  <si>
    <t>Service Description
وصف الخدمة</t>
  </si>
  <si>
    <t>Who can request?
من لديه صلاحية رفع الطلب؟</t>
  </si>
  <si>
    <t>Level 1 Approval
المستوى الأول للموافقة</t>
  </si>
  <si>
    <t>Level 2 Approval
المستوى الثاني للموافقة</t>
  </si>
  <si>
    <t>Level 3 Approval
المستوى الثالث للموافقة</t>
  </si>
  <si>
    <t>L1 Implementation Responsible Team
فريق التنفيذ - المستوى الأول</t>
  </si>
  <si>
    <t>L2 Implementation Responsible Team
فريق التنفيذ - المستوى الثاني</t>
  </si>
  <si>
    <t>Notes
ملاحظات</t>
  </si>
  <si>
    <t>Jira: approval steps</t>
  </si>
  <si>
    <t>Jira: form fields</t>
  </si>
  <si>
    <t>Ejada notes</t>
  </si>
  <si>
    <t>SVC-01</t>
  </si>
  <si>
    <t>Digital &amp; Technology Demand Intake</t>
  </si>
  <si>
    <t>New System or Capability</t>
  </si>
  <si>
    <t>ERC sectors can ask for a new system or capability.</t>
  </si>
  <si>
    <t>All ERC employees</t>
  </si>
  <si>
    <t>Requester's Department Head</t>
  </si>
  <si>
    <t>-</t>
  </si>
  <si>
    <t>PTO Team</t>
  </si>
  <si>
    <t>EA Team</t>
  </si>
  <si>
    <t>One approval only. PTO Team reviews the demand first, then hands it to EA Team for the architecture review.</t>
  </si>
  <si>
    <t>Request type: New System or Capability. Approver taken from the requester's department head.</t>
  </si>
  <si>
    <t>One row per field on a service's request form, in the order they appear</t>
  </si>
  <si>
    <t>Row 6 is a worked example. Do not add 'Requester name' or 'Date submitted' as fields - Jira records both automatically (choose the 'Automatic' field types if you want them listed).</t>
  </si>
  <si>
    <t>Field ID</t>
  </si>
  <si>
    <t>Order</t>
  </si>
  <si>
    <t>Field label (English)</t>
  </si>
  <si>
    <t>Field label (Arabic)
اسم الحقل</t>
  </si>
  <si>
    <t>Field type
نوع الحقل</t>
  </si>
  <si>
    <t>Required?
إلزامي؟</t>
  </si>
  <si>
    <t>Dropdown options (separate with ;)
الخيارات</t>
  </si>
  <si>
    <t>Help text shown under the field</t>
  </si>
  <si>
    <t>Who fills it?</t>
  </si>
  <si>
    <t>Jira: field type</t>
  </si>
  <si>
    <t>FLD-001</t>
  </si>
  <si>
    <t>Business Priority</t>
  </si>
  <si>
    <t>أولوية الطلب</t>
  </si>
  <si>
    <t>Dropdown - one choice</t>
  </si>
  <si>
    <t>Yes</t>
  </si>
  <si>
    <t>High; Medium; Low</t>
  </si>
  <si>
    <t>How important this demand is to your sector.</t>
  </si>
  <si>
    <t>Requester (portal)</t>
  </si>
  <si>
    <t>New field: Business Priority (select list).</t>
  </si>
  <si>
    <t>Anything that is not a service or a form field - one row per requirement</t>
  </si>
  <si>
    <t>Tip: keep one requirement per row. Use 'Acceptance criteria' to say how we will know it is done.</t>
  </si>
  <si>
    <t>Req ID</t>
  </si>
  <si>
    <t>Area</t>
  </si>
  <si>
    <t>Requirement title</t>
  </si>
  <si>
    <t>Description</t>
  </si>
  <si>
    <t>Business justification</t>
  </si>
  <si>
    <t>Priority</t>
  </si>
  <si>
    <t>Requested by (name)</t>
  </si>
  <si>
    <t>Department</t>
  </si>
  <si>
    <t>Acceptance criteria</t>
  </si>
  <si>
    <t>Target date</t>
  </si>
  <si>
    <t>Status</t>
  </si>
  <si>
    <t>BR-001</t>
  </si>
  <si>
    <t>Notifications</t>
  </si>
  <si>
    <t>Notify Compliance on every new report</t>
  </si>
  <si>
    <t>When a report is submitted, every member of GRC-Compliance receives an email with the reference number and a link.</t>
  </si>
  <si>
    <t>Reports must be seen within the same working day.</t>
  </si>
  <si>
    <t>Must have</t>
  </si>
  <si>
    <t>Head of Compliance</t>
  </si>
  <si>
    <t>Compliance</t>
  </si>
  <si>
    <t>A test report generates one email per GRC-Compliance member within 5 minutes; the email has no report details.</t>
  </si>
  <si>
    <t>2026-11-15</t>
  </si>
  <si>
    <t>Implemented</t>
  </si>
  <si>
    <t>Live in sandbox.</t>
  </si>
  <si>
    <t>Intake / Portal</t>
  </si>
  <si>
    <t>Rename the portal to "Speak Up"</t>
  </si>
  <si>
    <t>Rename the portal from "Whistleblowing Reporting Portal" to "Speak Up" wherever reporters or staff see it: the help center portal name, the portal page title, the notification emails and the user guide.</t>
  </si>
  <si>
    <t>The portal, the emails and the user guide show "Speak Up"; "Whistleblowing Reporting Portal" no longer appears anywhere a reporter or staff member can see it.</t>
  </si>
  <si>
    <t>New</t>
  </si>
  <si>
    <t>Sandbox, 21/10/2026: done - project, portal and help center renamed, emails and user guide (v1.2) updated. The help center address changed with it, from /helpcenter/WhistleblowingReporting to /helpcenter/SpeakUp: the old link no longer opens the form, so every published link (intranet, emails, posters, QR codes) must be replaced when this goes to production. Production: not started.</t>
  </si>
  <si>
    <t>Anonymity notice next to the anonymous option</t>
  </si>
  <si>
    <t>Next to the anonymity selection option on the reporting form, show this statement: "Please note that choosing to remain anonymous may limit our ability to clarify facts or follow up with you during the investigation."</t>
  </si>
  <si>
    <t>Opening the reporting form shows the statement, word for word, directly next to the anonymity option, before the reporter submits.</t>
  </si>
  <si>
    <t>Shown as the help text of the anonymity option. Arabic text to confirm: "يرجى العلم بأن اختيار عدم الإفصاح عن هويتك قد يحدّ من قدرتنا على استيضاح الوقائع أو المتابعة معك أثناء التحقيق."</t>
  </si>
  <si>
    <t>"What can I report?" guidance behind an info button</t>
  </si>
  <si>
    <t>The portal should present a summary of reportable matters to guide reporters. It must not be static text on the form: an info icon or button (e.g. "What can I report?" or an "i" next to the title) opens the guidance in BR-005 as an expandable panel, popup or tooltip, and it can be collapsed again so it does not clutter the form.</t>
  </si>
  <si>
    <t>The form shows only the button; clicking or tapping it shows the BR-005 text in full; it can be closed again; it works on desktop and mobile.</t>
  </si>
  <si>
    <t>Jira's portal has no native info-icon popup. Closest standard option: a "What can I report?" toggle on the form that shows and hides a section holding the text. A true icon or popup needs a portal customization - to agree with ERC.</t>
  </si>
  <si>
    <t>Reportable matters - guidance text</t>
  </si>
  <si>
    <t>Text to show in the "What can I report?" guidance (BR-004), word for word:
A report may concern wrongdoing that has occurred, is occurring, or is likely to occur. Reportable matters include, without limitation:
Fraud, theft, embezzlement, misappropriation or misuse of assets, funds or information.
Bribery, kickbacks, facilitation payments, trading in influence, extortion or any other form of corruption.
Money laundering, terrorist financing, sanctions evasion or suspicious financial activity.
Collusion, bid rigging, conflict of interest, favoritism or abuse of position in procurement, contracting, land, permitting, licensing or recruitment decisions.
Falsification, concealment, destruction or manipulation of records, accounts, reports or evidence.
Breach of law, regulation, license conditions, contractual obligation or internal policy.
Harassment, bullying, discrimination, abuse of authority or other serious workplace misconduct.
Health, safety or environmental danger, and breaches of construction, heritage or site-protection requirements.
Information security breaches, unauthorized disclosure of confidential or personal data, and misuse of systems.
Deliberate circumvention or override of internal controls.
Retaliation against a whistleblower, witness or any person assisting a case, or any attempt to obstruct or interfere with a case.</t>
  </si>
  <si>
    <t>The guidance shows this text word for word, including all eleven items.</t>
  </si>
  <si>
    <t>Arabic version to be provided or confirmed by ERC, as the form is bilingual.</t>
  </si>
  <si>
    <t>Routing</t>
  </si>
  <si>
    <t>Escalation questions on the reporting page (new Internal Audit branch)</t>
  </si>
  <si>
    <t>Add two questions to the reporting page. This changes the existing workflow and adds a new branch.
Q1: "Is the reported case related to the Board of Directors?"
- Yes: the report goes to the Internal Audit team. Flow: Reject, or Under Investigation and then Closed.
- No: ask Q2.
Q2: "Is it related to the Governance, Risk &amp; Compliance or Cybersecurity department?"
- Yes: the report goes to Internal Audit.
- No: continue with the normal workflow.
Impact on current areas: see the 'BR-006 Impact' sheet.</t>
  </si>
  <si>
    <t>A Yes to either question sends the report straight to Internal Audit, with no Compliance review, and GRC-Compliance can neither see it nor receive an email about it. A No to both follows today's workflow unchanged.</t>
  </si>
  <si>
    <t>11 impacted areas and the decisions ERC needs to make are listed on the 'BR-006 Impact' sheet.</t>
  </si>
  <si>
    <t>Five more investigation functions under Report Category "Other"</t>
  </si>
  <si>
    <t>When the Report Category is "Other", the Compliance Manager chooses the Investigating Function. Add these functions, each with its own investigation group:
1. Legal
2. Procurement
3. Finance
4. Cybersecurity
5. ARC Chairman
This affects the investigation group, the assignee and the user groups. Impact on current areas: see the 'BR-007 Impact' sheet.</t>
  </si>
  <si>
    <t>Choosing each new function on a test report routes it to that function's group only: its members get the assignment email, can be assigned and can see the report; no other investigation group can.</t>
  </si>
  <si>
    <t>Groups added to the 'Groups &amp; Contacts' sheet for ERC to fill in the members. Decisions needed are on the 'BR-007 Impact' sheet.</t>
  </si>
  <si>
    <t>BR-006 - Impact of the escalation branch</t>
  </si>
  <si>
    <t>What changes in the current setup when a report concerns the Board, GRC or Cybersecurity</t>
  </si>
  <si>
    <t>Escalated reports concern GRC itself, so the rule behind most rows is: nothing about them may reach GRC-Compliance - not the report, not an email, not an SLA escalation.</t>
  </si>
  <si>
    <t>#</t>
  </si>
  <si>
    <t>Today</t>
  </si>
  <si>
    <t>Change needed</t>
  </si>
  <si>
    <t>Decision needed from ERC</t>
  </si>
  <si>
    <t>ERC answer</t>
  </si>
  <si>
    <t>Reporting form</t>
  </si>
  <si>
    <t>One request type: summary, phone number, details, attachments and the pre-filled anonymous email.</t>
  </si>
  <si>
    <t>Add the two Yes/No questions (English and Arabic). Q2 shows only when Q1 is No. Both mandatory. The conditional question needs a form on the portal.</t>
  </si>
  <si>
    <t>Confirm the Arabic wording and that both questions are mandatory.</t>
  </si>
  <si>
    <t>Workflow</t>
  </si>
  <si>
    <t>Open -&gt; Compliance review -&gt; Under Investigation -&gt; Investigation Approved. A team rejection goes Back to Compliance.</t>
  </si>
  <si>
    <t>New branch for escalated reports: Open -&gt; Under Investigation (Internal Audit) -&gt; Closed, or Rejected with a reason. No path back to Compliance on this branch.</t>
  </si>
  <si>
    <t>Should Internal Audit record an Investigation Outcome when closing, as on the normal branch?</t>
  </si>
  <si>
    <t>Routing (automation)</t>
  </si>
  <si>
    <t>The investigation group is set from the Report Category when the Compliance Manager approves.</t>
  </si>
  <si>
    <t>New rule on submission: if either answer is Yes, assign Internal Audit at once and skip Compliance review. Today's routing rule is unchanged for the normal branch.</t>
  </si>
  <si>
    <t>Confidentiality (issue security)</t>
  </si>
  <si>
    <t>GRC-Compliance can see every report. FollowUP TKT sees all reports.</t>
  </si>
  <si>
    <t>Escalated reports get a new security level that GRC-Compliance cannot see (Internal Audit only).</t>
  </si>
  <si>
    <t>Who else may see escalated reports (e.g. the Audit Committee)? Should FollowUP TKT still see them?</t>
  </si>
  <si>
    <t>Every new report emails GRC-Compliance. The reporter gets an acknowledgement.</t>
  </si>
  <si>
    <t>Escalated reports email Internal Audit only; the GRC new-report rule must skip them. The reporter's acknowledgement does not change.</t>
  </si>
  <si>
    <t>SLA and escalation</t>
  </si>
  <si>
    <t>Compliance decision: 2 working days. Investigation decision: 2 working days. Breaches email HO-Compliance.</t>
  </si>
  <si>
    <t>The Compliance SLA does not apply. Breaches on escalated reports must not go to HO-Compliance.</t>
  </si>
  <si>
    <t>Who receives SLA escalations for escalated reports? Is 2 working days right for Internal Audit's decision?</t>
  </si>
  <si>
    <t>Classification</t>
  </si>
  <si>
    <t>The Compliance Manager records the Report Category in the Compliance Approval form.</t>
  </si>
  <si>
    <t>Escalated reports skip that form, so no Report Category is recorded unless Internal Audit sets it.</t>
  </si>
  <si>
    <t>Should Internal Audit classify escalated reports, so they appear in the statistics by category?</t>
  </si>
  <si>
    <t>Queues and reporting (incl. Power BI)</t>
  </si>
  <si>
    <t>Queues and reports cover all reports, by category.</t>
  </si>
  <si>
    <t>New queue: Escalated - Internal Audit. Reports and Power BI see escalated cases only if their account is allowed on the new security level.</t>
  </si>
  <si>
    <t>Should escalated cases appear in management reporting, and in how much detail?</t>
  </si>
  <si>
    <t>Reports about Internal Audit</t>
  </si>
  <si>
    <t>The two questions do not cover a report about Internal Audit itself; it would follow the normal flow to GRC.</t>
  </si>
  <si>
    <t>Is that acceptable, or is a third question needed?</t>
  </si>
  <si>
    <t>Agreed (21/10/2026): acceptable. A report about Internal Audit follows the normal workflow as built today; no third question.</t>
  </si>
  <si>
    <t>Documentation and training</t>
  </si>
  <si>
    <t>User guide v1.1, workflow diagram and SLA template describe one branch.</t>
  </si>
  <si>
    <t>Update the guide, the diagram and the SLA template; brief Internal Audit on the new branch.</t>
  </si>
  <si>
    <t>Reports already submitted</t>
  </si>
  <si>
    <t>No change: the questions apply to new reports only.</t>
  </si>
  <si>
    <t>BR-007 - Impact of the five new investigation functions</t>
  </si>
  <si>
    <t>What changes when Legal, Procurement, Finance, Cybersecurity and ARC Chairman can investigate</t>
  </si>
  <si>
    <t>Access to a report follows its Investigation Group, so each new function needs a group, a routing entry and licensed members - nothing else in the workflow changes.</t>
  </si>
  <si>
    <t>Investigating Function (form question)</t>
  </si>
  <si>
    <t>Shown when the Report Category is Other. Options: Internal Audit, Human Resources, Health and Safety representative, Information Security, GRC-Compliance Manager.</t>
  </si>
  <si>
    <t>Add the five options to the Compliance Approval form and to the Investigating Function field: Legal, Procurement, Finance, Cybersecurity, ARC Chairman.</t>
  </si>
  <si>
    <t>Confirm the Arabic labels for the five options.</t>
  </si>
  <si>
    <t>Investigation Group</t>
  </si>
  <si>
    <t>Set automatically from the Investigating Function when the Compliance Manager submits the form; one group per function.</t>
  </si>
  <si>
    <t>Five new Jira groups, and the five function-to-group pairs added to the routing rule.</t>
  </si>
  <si>
    <t>Group names. Jira groups are shared across ERC's whole Atlassian organisation: a generic name such as "Finance" may already exist with all finance staff in it, and every one of them would see these reports. Dedicated names (e.g. "WB-Finance") are safer.</t>
  </si>
  <si>
    <t>Group members</t>
  </si>
  <si>
    <t>One row per new group added to the 'Groups &amp; Contacts' sheet.</t>
  </si>
  <si>
    <t>Members and emails for each group.</t>
  </si>
  <si>
    <t>Assignee</t>
  </si>
  <si>
    <t>Members of GRC-Compliance and of the report's Investigation Group can be assigned.</t>
  </si>
  <si>
    <t>No permission change: members of a new group can be assigned as soon as a report is routed to it.</t>
  </si>
  <si>
    <t>Who in each group should be assigned first, if anyone (default assignee)?</t>
  </si>
  <si>
    <t>A report is visible to GRC-Compliance and to its Investigation Group only.</t>
  </si>
  <si>
    <t>No change to the security level: each new group sees only the reports routed to it.</t>
  </si>
  <si>
    <t>Licences and sign-in</t>
  </si>
  <si>
    <t>Every investigator needs a Jira Service Management agent licence and must be assigned to the "Jira - SSO" enterprise app in Entra ID.</t>
  </si>
  <si>
    <t>Members of the five groups need agent licences and the SSO assignment before go-live.</t>
  </si>
  <si>
    <t>Are enough agent licences available for the new members?</t>
  </si>
  <si>
    <t>ARC Chairman</t>
  </si>
  <si>
    <t>A single person, possibly outside ERC's staff directory. As an investigation function they would need a Jira account, a licence, and would see the full report in Jira.</t>
  </si>
  <si>
    <t>Should the ARC Chairman work in Jira, or receive these cases another way (e.g. through Internal Audit)?</t>
  </si>
  <si>
    <t>Cybersecurity and Information Security</t>
  </si>
  <si>
    <t>Information Security investigates information security and data protection reports.</t>
  </si>
  <si>
    <t>Cybersecurity is added as a separate function. Under BR-006, a report about the Cybersecurity department goes to Internal Audit, so Cybersecurity never investigates a report about itself.</t>
  </si>
  <si>
    <t>Is Cybersecurity a different team from Information Security, or the same group?</t>
  </si>
  <si>
    <t>The assignment email goes to the report's Investigation Group.</t>
  </si>
  <si>
    <t>Works for the new groups once they are in the routing rule.</t>
  </si>
  <si>
    <t>Investigation decision: 2 working days, for every investigation group.</t>
  </si>
  <si>
    <t>Applies to the new groups automatically.</t>
  </si>
  <si>
    <t>Documentation and reporting</t>
  </si>
  <si>
    <t>The user guide lists the groups and the category-to-function table. Power BI breaks reports down by group.</t>
  </si>
  <si>
    <t>Update the guide's tables; the new functions appear in reporting once used.</t>
  </si>
  <si>
    <t>Service Levels (SLA) and Escalation</t>
  </si>
  <si>
    <t>One row per SLA level - add a row for each category or severity that needs its own target</t>
  </si>
  <si>
    <t>Escalation timing is after the breach, in the same unit as the target (e.g. 1 = one working day after the target is missed). Groups come from the 'Groups &amp; Contacts' sheet; add a personal email only if someone outside a group must be told.</t>
  </si>
  <si>
    <t>SLA ID</t>
  </si>
  <si>
    <t>SLA name</t>
  </si>
  <si>
    <t>Stage measured</t>
  </si>
  <si>
    <t>Applies to report category</t>
  </si>
  <si>
    <t>Severity</t>
  </si>
  <si>
    <t>Clock starts when</t>
  </si>
  <si>
    <t>Clock stops when</t>
  </si>
  <si>
    <t>Clock pauses when</t>
  </si>
  <si>
    <t>Target</t>
  </si>
  <si>
    <t>Unit</t>
  </si>
  <si>
    <t>Calendar</t>
  </si>
  <si>
    <t>Warning at (% of target)</t>
  </si>
  <si>
    <t>Warning - group</t>
  </si>
  <si>
    <t>Warning - email</t>
  </si>
  <si>
    <t>Escalation L1 - after breach</t>
  </si>
  <si>
    <t>L1 - group</t>
  </si>
  <si>
    <t>L1 - email</t>
  </si>
  <si>
    <t>L1 - channel</t>
  </si>
  <si>
    <t>Escalation L2 - after breach</t>
  </si>
  <si>
    <t>L2 - group</t>
  </si>
  <si>
    <t>L2 - email</t>
  </si>
  <si>
    <t>L2 - channel</t>
  </si>
  <si>
    <t>Escalation L3 - after breach</t>
  </si>
  <si>
    <t>L3 - group</t>
  </si>
  <si>
    <t>L3 - email</t>
  </si>
  <si>
    <t>L3 - channel</t>
  </si>
  <si>
    <t>Notes</t>
  </si>
  <si>
    <t>SLA-01</t>
  </si>
  <si>
    <t>Time to Compliance Decision</t>
  </si>
  <si>
    <t>Compliance Decision</t>
  </si>
  <si>
    <t>All categories</t>
  </si>
  <si>
    <t>All severities</t>
  </si>
  <si>
    <t>Report created, or returned to Back to Compliance</t>
  </si>
  <si>
    <t>Under Investigation or Rejected by Compliance</t>
  </si>
  <si>
    <t>Never</t>
  </si>
  <si>
    <t>Working days</t>
  </si>
  <si>
    <t>ERC working week (Sun-Thu 08:00-16:00)</t>
  </si>
  <si>
    <t>GRC-Compliance</t>
  </si>
  <si>
    <t>HO-Compliance</t>
  </si>
  <si>
    <t>doaamokhtar@gmail.com</t>
  </si>
  <si>
    <t>Email</t>
  </si>
  <si>
    <t>Today: L1 only, on breach. L1 email is a placeholder until the real Head of Compliance is named.</t>
  </si>
  <si>
    <t>Time to Investigation Decision</t>
  </si>
  <si>
    <t>Investigation Decision</t>
  </si>
  <si>
    <t>Report enters Under Investigation</t>
  </si>
  <si>
    <t>Investigation Approved or Back to Compliance</t>
  </si>
  <si>
    <t>Configured in the sandbox today.</t>
  </si>
  <si>
    <t>Groups and Contacts</t>
  </si>
  <si>
    <t>One row per member - repeat the group name for each member</t>
  </si>
  <si>
    <t>A person should belong to one investigation group only, so they cannot review the same report twice.</t>
  </si>
  <si>
    <t>Group</t>
  </si>
  <si>
    <t>Role in the process</t>
  </si>
  <si>
    <t>Member name</t>
  </si>
  <si>
    <t>Member email</t>
  </si>
  <si>
    <t>Job title / department</t>
  </si>
  <si>
    <t>Needs Jira agent licence?</t>
  </si>
  <si>
    <t>Also receives escalations?</t>
  </si>
  <si>
    <t>Compliance Manager</t>
  </si>
  <si>
    <t>Fotoun Kurdi</t>
  </si>
  <si>
    <t>f.kurdi@erc.sa</t>
  </si>
  <si>
    <t>GRC</t>
  </si>
  <si>
    <t>No</t>
  </si>
  <si>
    <t>Example only.</t>
  </si>
  <si>
    <t>Compliance Manager: classifies new reports, approves or rejects them</t>
  </si>
  <si>
    <t>Internal Audit</t>
  </si>
  <si>
    <t>Investigates fraud, bribery and procurement reports</t>
  </si>
  <si>
    <t>Human Resources</t>
  </si>
  <si>
    <t>Investigates harassment; first approval on retaliation reports</t>
  </si>
  <si>
    <t>Employee Relations</t>
  </si>
  <si>
    <t>Second approval on retaliation reports</t>
  </si>
  <si>
    <t>Health and Safety Representative</t>
  </si>
  <si>
    <t>Investigates health, safety, environmental and heritage reports</t>
  </si>
  <si>
    <t>Information Security</t>
  </si>
  <si>
    <t>Investigates information security and data protection reports</t>
  </si>
  <si>
    <t>Head of Compliance: receives SLA escalations</t>
  </si>
  <si>
    <t>FollowUP TKT</t>
  </si>
  <si>
    <t>Oversight: sees all reports</t>
  </si>
  <si>
    <t>Legal</t>
  </si>
  <si>
    <t>Investigates reports routed to Legal (Report Category Other) - new, BR-007</t>
  </si>
  <si>
    <t>Procurement</t>
  </si>
  <si>
    <t>Investigates reports routed to Procurement (Report Category Other) - new, BR-007</t>
  </si>
  <si>
    <t>Finance</t>
  </si>
  <si>
    <t>Investigates reports routed to Finance (Report Category Other) - new, BR-007</t>
  </si>
  <si>
    <t>Cybersecurity</t>
  </si>
  <si>
    <t>Investigates reports routed to Cybersecurity (Report Category Other) - new, BR-007</t>
  </si>
  <si>
    <t>Investigates reports routed to ARC Chairman (Report Category Other) - new, BR-007</t>
  </si>
  <si>
    <t>ReqStatus</t>
  </si>
  <si>
    <t>ReportCategory</t>
  </si>
  <si>
    <t>Stage</t>
  </si>
  <si>
    <t>Channel</t>
  </si>
  <si>
    <t>YesNo</t>
  </si>
  <si>
    <t>Requesters</t>
  </si>
  <si>
    <t>FilledBy</t>
  </si>
  <si>
    <t>FieldType</t>
  </si>
  <si>
    <t>JiraField</t>
  </si>
  <si>
    <t>GroupNames</t>
  </si>
  <si>
    <t>Working hours</t>
  </si>
  <si>
    <t>Single-line text</t>
  </si>
  <si>
    <t>Short text (Text Field - single line)</t>
  </si>
  <si>
    <t>Should have</t>
  </si>
  <si>
    <t>In review</t>
  </si>
  <si>
    <t>Fraud, Theft, Embezzlement or Asset Misappropriation</t>
  </si>
  <si>
    <t>Critical</t>
  </si>
  <si>
    <t>24/7</t>
  </si>
  <si>
    <t>Email + Microsoft Teams</t>
  </si>
  <si>
    <t>Specific departments (list in Notes)</t>
  </si>
  <si>
    <t>Internal team only</t>
  </si>
  <si>
    <t>Multi-line text</t>
  </si>
  <si>
    <t>Paragraph (Text Field - multi-line)</t>
  </si>
  <si>
    <t>Could have</t>
  </si>
  <si>
    <t>Approved</t>
  </si>
  <si>
    <t>Bribery, Corruption, Kickbacks or Trading in Influence</t>
  </si>
  <si>
    <t>High</t>
  </si>
  <si>
    <t>Employee Relations Approval (Retaliation)</t>
  </si>
  <si>
    <t>Calendar hours</t>
  </si>
  <si>
    <t>Microsoft Teams</t>
  </si>
  <si>
    <t>Specific group (name in Notes)</t>
  </si>
  <si>
    <t>Number</t>
  </si>
  <si>
    <t>Number Field</t>
  </si>
  <si>
    <t>Investigation</t>
  </si>
  <si>
    <t>Won't have (now)</t>
  </si>
  <si>
    <t>Rejected</t>
  </si>
  <si>
    <t>Money Laundering, Terrorist Financing or Sanctions Concerns</t>
  </si>
  <si>
    <t>Medium</t>
  </si>
  <si>
    <t>First contact with reporter</t>
  </si>
  <si>
    <t>Calendar days</t>
  </si>
  <si>
    <t>SMS</t>
  </si>
  <si>
    <t>Anyone - no sign-in (anonymous)</t>
  </si>
  <si>
    <t>Date</t>
  </si>
  <si>
    <t>Date Picker</t>
  </si>
  <si>
    <t>Procurement Manipulation, Collusion, Bid Rigging or Conflict of Interest</t>
  </si>
  <si>
    <t>Low</t>
  </si>
  <si>
    <t>Case closure</t>
  </si>
  <si>
    <t>External customers / partners</t>
  </si>
  <si>
    <t>Date and time</t>
  </si>
  <si>
    <t>Date Time Picker</t>
  </si>
  <si>
    <t>SLA &amp; Escalation</t>
  </si>
  <si>
    <t>Harassment, Discrimination, Bullying or Abuse of Authority</t>
  </si>
  <si>
    <t>Other</t>
  </si>
  <si>
    <t>Select List (single choice)</t>
  </si>
  <si>
    <t>Reporting</t>
  </si>
  <si>
    <t>Health, Safety, Environmental or Heritage-Protection Breach</t>
  </si>
  <si>
    <t>Dropdown - many choices</t>
  </si>
  <si>
    <t>Select List (multiple choices)</t>
  </si>
  <si>
    <t>Security &amp; Access</t>
  </si>
  <si>
    <t>Information Security, Data Protection or Systems Misuse</t>
  </si>
  <si>
    <t>Checkboxes</t>
  </si>
  <si>
    <t>Data &amp; Retention</t>
  </si>
  <si>
    <t>Other Regulatory or License Compliance Breach</t>
  </si>
  <si>
    <t>Yes / No</t>
  </si>
  <si>
    <t>Radio Buttons (Yes, No)</t>
  </si>
  <si>
    <t>Retaliation Against a Reporter or Witness</t>
  </si>
  <si>
    <t>Person (pick a user)</t>
  </si>
  <si>
    <t>User Picker (single user)</t>
  </si>
  <si>
    <t>Email address</t>
  </si>
  <si>
    <t>Short text + email validation (Form)</t>
  </si>
  <si>
    <t>Phone number</t>
  </si>
  <si>
    <t>Short text (Form)</t>
  </si>
  <si>
    <t>Attachment</t>
  </si>
  <si>
    <t>System: Attachment</t>
  </si>
  <si>
    <t>Automatic - requester name</t>
  </si>
  <si>
    <t>System: Reporter - no field needed</t>
  </si>
  <si>
    <t>Automatic - date submitted</t>
  </si>
  <si>
    <t>System: Created - no field needed</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</si>
</sst>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b/>
      <sz val="10"/>
      <name val="Arial"/>
    </font>
    <font>
      <b/>
      <sz val="16"/>
      <color rgb="FFFFFFFF"/>
      <name val="Arial"/>
    </font>
    <font>
      <sz val="10"/>
      <color rgb="FF36B78E"/>
      <name val="Arial"/>
    </font>
    <font>
      <b/>
      <sz val="12"/>
      <color rgb="FF024638"/>
      <name val="Arial"/>
    </font>
    <font>
      <sz val="10"/>
      <name val="Arial"/>
    </font>
    <font>
      <b/>
      <sz val="10"/>
      <color rgb="FF228848"/>
      <name val="Arial"/>
    </font>
    <font>
      <i/>
      <sz val="10"/>
      <color rgb="FF5E716B"/>
      <name val="Arial"/>
    </font>
    <font>
      <b/>
      <sz val="10"/>
      <color rgb="FFFFFFFF"/>
      <name val="Arial"/>
    </font>
    <font>
      <sz val="10"/>
      <color rgb="FF1D2B27"/>
      <name val="Arial"/>
    </font>
    <font>
      <sz val="10"/>
      <color rgb="FF5E716B"/>
      <name val="Arial"/>
    </font>
    <font>
      <b/>
      <sz val="10"/>
      <color rgb="FF1D2B27"/>
      <name val="Arial"/>
    </font>
  </fonts>
  <fills count="6">
    <fill>
      <patternFill patternType="none"/>
    </fill>
    <fill>
      <patternFill patternType="gray125"/>
    </fill>
    <fill>
      <patternFill patternType="solid">
        <fgColor rgb="FF024638"/>
      </patternFill>
    </fill>
    <fill>
      <patternFill patternType="solid">
        <fgColor rgb="FFFFF8D6"/>
      </patternFill>
    </fill>
    <fill>
      <patternFill patternType="solid">
        <fgColor rgb="FFF1F6F3"/>
      </patternFill>
    </fill>
    <fill>
      <patternFill patternType="solid">
        <fgColor rgb="FFEEF7F3"/>
      </patternFill>
    </fill>
  </fills>
  <borders count="2">
    <border>
      <left/>
      <right/>
      <top/>
      <bottom/>
      <diagonal/>
    </border>
    <border>
      <left style="thin">
        <color rgb="FFD6E6DF"/>
      </left>
      <right style="thin">
        <color rgb="FFD6E6DF"/>
      </right>
      <top style="thin">
        <color rgb="FFD6E6DF"/>
      </top>
      <bottom style="thin">
        <color rgb="FFD6E6DF"/>
      </bottom>
      <diagonal/>
    </border>
  </borders>
  <cellStyleXfs count="1">
    <xf numFmtId="0" fontId="0" fillId="0" borderId="0"/>
  </cellStyleXfs>
  <cellXfs count="35">
    <xf numFmtId="0" fontId="0" fillId="0" borderId="0" xfId="0"/>
    <xf numFmtId="0" fontId="4" fillId="0" borderId="0" xfId="0" applyFont="1"/>
    <xf numFmtId="0" fontId="1" fillId="3" borderId="1" xfId="0" applyFont="1" applyFill="1" applyBorder="1"/>
    <xf numFmtId="0" fontId="5" fillId="0" borderId="1" xfId="0" applyFont="1" applyBorder="1" applyAlignment="1">
      <alignment vertical="top" wrapText="1"/>
    </xf>
    <xf numFmtId="0" fontId="1" fillId="4" borderId="1" xfId="0" applyFont="1" applyFill="1" applyBorder="1"/>
    <xf numFmtId="0" fontId="1" fillId="0" borderId="1" xfId="0" applyFont="1" applyBorder="1"/>
    <xf numFmtId="0" fontId="5" fillId="0" borderId="1" xfId="0" applyFont="1" applyBorder="1"/>
    <xf numFmtId="0" fontId="5" fillId="3" borderId="1" xfId="0" applyFont="1" applyFill="1" applyBorder="1"/>
    <xf numFmtId="0" fontId="5" fillId="0" borderId="1" xfId="0" applyFont="1" applyBorder="1" applyAlignment="1">
      <alignment horizontal="left"/>
    </xf>
    <xf numFmtId="0" fontId="7" fillId="0" borderId="0" xfId="0" applyFont="1"/>
    <xf numFmtId="0" fontId="8" fillId="2" borderId="1" xfId="0" applyFont="1" applyFill="1" applyBorder="1" applyAlignment="1">
      <alignment vertical="center" wrapText="1"/>
    </xf>
    <xf numFmtId="0" fontId="7" fillId="4" borderId="1" xfId="0" applyFont="1" applyFill="1" applyBorder="1" applyAlignment="1">
      <alignment vertical="top" wrapText="1"/>
    </xf>
    <xf numFmtId="0" fontId="7" fillId="4" borderId="1" xfId="0" applyFont="1" applyFill="1" applyBorder="1" applyAlignment="1">
      <alignment horizontal="center" vertical="top"/>
    </xf>
    <xf numFmtId="0" fontId="10" fillId="4" borderId="1" xfId="0" applyFont="1" applyFill="1" applyBorder="1" applyAlignment="1">
      <alignment vertical="top" wrapText="1"/>
    </xf>
    <xf numFmtId="0" fontId="9" fillId="3" borderId="1" xfId="0" applyFont="1" applyFill="1" applyBorder="1" applyAlignment="1">
      <alignment vertical="top" wrapText="1"/>
    </xf>
    <xf numFmtId="0" fontId="10" fillId="4" borderId="1" xfId="0" applyFont="1" applyFill="1" applyBorder="1" applyAlignment="1">
      <alignment horizontal="center" vertical="top"/>
    </xf>
    <xf numFmtId="14" fontId="7" fillId="4" borderId="1" xfId="0" applyNumberFormat="1" applyFont="1" applyFill="1" applyBorder="1" applyAlignment="1">
      <alignment vertical="top" wrapText="1"/>
    </xf>
    <xf numFmtId="14" fontId="9" fillId="3" borderId="1" xfId="0" applyNumberFormat="1" applyFont="1" applyFill="1" applyBorder="1" applyAlignment="1">
      <alignment vertical="top" wrapText="1"/>
    </xf>
    <xf numFmtId="0" fontId="8" fillId="2" borderId="1" xfId="0" applyFont="1" applyFill="1" applyBorder="1" applyAlignment="1">
      <alignment vertical="center"/>
    </xf>
    <xf numFmtId="0" fontId="9" fillId="0" borderId="1" xfId="0" applyFont="1" applyBorder="1" applyAlignment="1">
      <alignment vertical="top" wrapText="1"/>
    </xf>
    <xf numFmtId="0" fontId="11" fillId="0" borderId="1" xfId="0" applyFont="1" applyBorder="1" applyAlignment="1">
      <alignment vertical="top" wrapText="1"/>
    </xf>
    <xf numFmtId="0" fontId="9" fillId="5" borderId="1" xfId="0" applyFont="1" applyFill="1" applyBorder="1" applyAlignment="1">
      <alignment vertical="top" wrapText="1"/>
    </xf>
    <xf numFmtId="0" fontId="11" fillId="5" borderId="1" xfId="0" applyFont="1" applyFill="1" applyBorder="1" applyAlignment="1">
      <alignment vertical="top" wrapText="1"/>
    </xf>
    <xf numFmtId="0" fontId="9" fillId="4" borderId="1" xfId="0" applyFont="1" applyFill="1" applyBorder="1" applyAlignment="1">
      <alignment vertical="top" wrapText="1"/>
    </xf>
    <xf numFmtId="0" fontId="6" fillId="5" borderId="1" xfId="0" applyFont="1" applyFill="1" applyBorder="1" applyAlignment="1">
      <alignment vertical="top" wrapText="1"/>
    </xf>
    <xf numFmtId="9" fontId="7" fillId="4" borderId="1" xfId="0" applyNumberFormat="1" applyFont="1" applyFill="1" applyBorder="1" applyAlignment="1">
      <alignment vertical="top" wrapText="1"/>
    </xf>
    <xf numFmtId="0" fontId="7" fillId="3" borderId="1" xfId="0" applyFont="1" applyFill="1" applyBorder="1" applyAlignment="1">
      <alignment vertical="top" wrapText="1"/>
    </xf>
    <xf numFmtId="9" fontId="7" fillId="3" borderId="1" xfId="0" applyNumberFormat="1" applyFont="1" applyFill="1" applyBorder="1" applyAlignment="1">
      <alignment vertical="top" wrapText="1"/>
    </xf>
    <xf numFmtId="9" fontId="9" fillId="3" borderId="1" xfId="0" applyNumberFormat="1" applyFont="1" applyFill="1" applyBorder="1" applyAlignment="1">
      <alignment vertical="top" wrapText="1"/>
    </xf>
    <xf numFmtId="0" fontId="1" fillId="0" borderId="0" xfId="0" applyFont="1"/>
    <xf numFmtId="0" fontId="2" fillId="2" borderId="0" xfId="0" applyFont="1" applyFill="1" applyAlignment="1">
      <alignment vertical="center"/>
    </xf>
    <xf numFmtId="0" fontId="0" fillId="2" borderId="0" xfId="0" applyFill="1"/>
    <xf numFmtId="0" fontId="6" fillId="5" borderId="0" xfId="0" applyFont="1" applyFill="1"/>
    <xf numFmtId="0" fontId="0" fillId="0" borderId="0" xfId="0"/>
    <xf numFmtId="0" fontId="3" fillId="2" borderId="0" xfId="0" applyFont="1" applyFill="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38150" cy="390525"/>
    <xdr:pic>
      <xdr:nvPicPr>
        <xdr:cNvPr id="2" name="Image 1" descr="Picture"/>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438150" cy="390525"/>
    <xdr:pic>
      <xdr:nvPicPr>
        <xdr:cNvPr id="2" name="Image 1" descr="Picture"/>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438150" cy="390525"/>
    <xdr:pic>
      <xdr:nvPicPr>
        <xdr:cNvPr id="2" name="Image 1" descr="Picture"/>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438150" cy="390525"/>
    <xdr:pic>
      <xdr:nvPicPr>
        <xdr:cNvPr id="2" name="Image 1" descr="Picture"/>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438150" cy="390525"/>
    <xdr:pic>
      <xdr:nvPicPr>
        <xdr:cNvPr id="2" name="Image 1" descr="Picture"/>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438150" cy="390525"/>
    <xdr:pic>
      <xdr:nvPicPr>
        <xdr:cNvPr id="2" name="Image 1" descr="Picture"/>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438150" cy="390525"/>
    <xdr:pic>
      <xdr:nvPicPr>
        <xdr:cNvPr id="2" name="Image 1" descr="Picture"/>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438150" cy="390525"/>
    <xdr:pic>
      <xdr:nvPicPr>
        <xdr:cNvPr id="2" name="Image 1" descr="Picture"/>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24638"/>
  </sheetPr>
  <dimension ref="B1:C36"/>
  <sheetViews>
    <sheetView showGridLines="0" tabSelected="1" zoomScale="90" workbookViewId="0"/>
  </sheetViews>
  <sheetFormatPr defaultRowHeight="14.4" x14ac:dyDescent="0.3"/>
  <cols>
    <col min="1" max="1" width="16" customWidth="1"/>
    <col min="2" max="2" width="34" customWidth="1"/>
    <col min="3" max="3" width="70" customWidth="1"/>
  </cols>
  <sheetData>
    <row r="1" spans="2:3" ht="43.95" customHeight="1" x14ac:dyDescent="0.3">
      <c r="B1" s="30" t="s">
        <v>0</v>
      </c>
      <c r="C1" s="31"/>
    </row>
    <row r="2" spans="2:3" ht="22.05" customHeight="1" x14ac:dyDescent="0.3">
      <c r="B2" s="34" t="s">
        <v>1</v>
      </c>
      <c r="C2" s="31"/>
    </row>
    <row r="4" spans="2:3" ht="15.6" x14ac:dyDescent="0.3">
      <c r="B4" s="1" t="s">
        <v>2</v>
      </c>
    </row>
    <row r="5" spans="2:3" x14ac:dyDescent="0.3">
      <c r="B5" s="2" t="s">
        <v>3</v>
      </c>
      <c r="C5" s="3" t="s">
        <v>4</v>
      </c>
    </row>
    <row r="6" spans="2:3" x14ac:dyDescent="0.3">
      <c r="B6" s="4" t="s">
        <v>5</v>
      </c>
      <c r="C6" s="3" t="s">
        <v>6</v>
      </c>
    </row>
    <row r="7" spans="2:3" x14ac:dyDescent="0.3">
      <c r="B7" s="5" t="s">
        <v>7</v>
      </c>
      <c r="C7" s="3" t="s">
        <v>8</v>
      </c>
    </row>
    <row r="8" spans="2:3" x14ac:dyDescent="0.3">
      <c r="B8" s="5" t="s">
        <v>9</v>
      </c>
      <c r="C8" s="3" t="s">
        <v>10</v>
      </c>
    </row>
    <row r="10" spans="2:3" ht="15.6" x14ac:dyDescent="0.3">
      <c r="B10" s="1" t="s">
        <v>11</v>
      </c>
    </row>
    <row r="11" spans="2:3" ht="26.4" x14ac:dyDescent="0.3">
      <c r="B11" s="5" t="s">
        <v>12</v>
      </c>
      <c r="C11" s="3" t="s">
        <v>13</v>
      </c>
    </row>
    <row r="12" spans="2:3" ht="26.4" x14ac:dyDescent="0.3">
      <c r="B12" s="5" t="s">
        <v>14</v>
      </c>
      <c r="C12" s="3" t="s">
        <v>15</v>
      </c>
    </row>
    <row r="13" spans="2:3" ht="26.4" x14ac:dyDescent="0.3">
      <c r="B13" s="5" t="s">
        <v>16</v>
      </c>
      <c r="C13" s="3" t="s">
        <v>17</v>
      </c>
    </row>
    <row r="14" spans="2:3" ht="26.4" x14ac:dyDescent="0.3">
      <c r="B14" s="5" t="s">
        <v>18</v>
      </c>
      <c r="C14" s="3" t="s">
        <v>19</v>
      </c>
    </row>
    <row r="15" spans="2:3" x14ac:dyDescent="0.3">
      <c r="B15" s="5" t="s">
        <v>20</v>
      </c>
      <c r="C15" s="3" t="s">
        <v>21</v>
      </c>
    </row>
    <row r="16" spans="2:3" ht="26.4" x14ac:dyDescent="0.3">
      <c r="B16" s="5" t="s">
        <v>22</v>
      </c>
      <c r="C16" s="3" t="s">
        <v>23</v>
      </c>
    </row>
    <row r="17" spans="2:3" x14ac:dyDescent="0.3">
      <c r="B17" s="5" t="s">
        <v>24</v>
      </c>
      <c r="C17" s="3" t="s">
        <v>25</v>
      </c>
    </row>
    <row r="19" spans="2:3" ht="15.6" x14ac:dyDescent="0.3">
      <c r="B19" s="1" t="s">
        <v>26</v>
      </c>
    </row>
    <row r="20" spans="2:3" x14ac:dyDescent="0.3">
      <c r="B20" s="5" t="s">
        <v>27</v>
      </c>
      <c r="C20" s="6" t="s">
        <v>28</v>
      </c>
    </row>
    <row r="21" spans="2:3" x14ac:dyDescent="0.3">
      <c r="B21" s="5" t="s">
        <v>29</v>
      </c>
      <c r="C21" s="6" t="s">
        <v>30</v>
      </c>
    </row>
    <row r="22" spans="2:3" x14ac:dyDescent="0.3">
      <c r="B22" s="5" t="s">
        <v>31</v>
      </c>
      <c r="C22" s="6" t="s">
        <v>32</v>
      </c>
    </row>
    <row r="23" spans="2:3" x14ac:dyDescent="0.3">
      <c r="B23" s="5" t="s">
        <v>33</v>
      </c>
      <c r="C23" s="6" t="s">
        <v>34</v>
      </c>
    </row>
    <row r="24" spans="2:3" x14ac:dyDescent="0.3">
      <c r="B24" s="5" t="s">
        <v>35</v>
      </c>
      <c r="C24" s="7"/>
    </row>
    <row r="25" spans="2:3" x14ac:dyDescent="0.3">
      <c r="B25" s="5" t="s">
        <v>36</v>
      </c>
      <c r="C25" s="7"/>
    </row>
    <row r="26" spans="2:3" x14ac:dyDescent="0.3">
      <c r="B26" s="5" t="s">
        <v>37</v>
      </c>
      <c r="C26" s="7"/>
    </row>
    <row r="28" spans="2:3" ht="15.6" x14ac:dyDescent="0.3">
      <c r="B28" s="1" t="s">
        <v>38</v>
      </c>
    </row>
    <row r="29" spans="2:3" x14ac:dyDescent="0.3">
      <c r="B29" s="5" t="s">
        <v>39</v>
      </c>
      <c r="C29" s="8">
        <f>COUNTA('Service Catalog'!C7:C66)</f>
        <v>0</v>
      </c>
    </row>
    <row r="30" spans="2:3" x14ac:dyDescent="0.3">
      <c r="B30" s="5" t="s">
        <v>40</v>
      </c>
      <c r="C30" s="8">
        <f>COUNTA('Request Form Fields'!D7:D66)</f>
        <v>0</v>
      </c>
    </row>
    <row r="31" spans="2:3" x14ac:dyDescent="0.3">
      <c r="B31" s="5" t="s">
        <v>41</v>
      </c>
      <c r="C31" s="8">
        <f>COUNTA('Other Requirements'!C7:C66)</f>
        <v>6</v>
      </c>
    </row>
    <row r="32" spans="2:3" x14ac:dyDescent="0.3">
      <c r="B32" s="5" t="s">
        <v>42</v>
      </c>
      <c r="C32" s="8">
        <f>COUNTIF('Other Requirements'!K7:K66,"Approved")</f>
        <v>0</v>
      </c>
    </row>
    <row r="33" spans="2:3" x14ac:dyDescent="0.3">
      <c r="B33" s="5" t="s">
        <v>43</v>
      </c>
      <c r="C33" s="8">
        <f>COUNTA(SLA!B7:B66)</f>
        <v>1</v>
      </c>
    </row>
    <row r="34" spans="2:3" x14ac:dyDescent="0.3">
      <c r="B34" s="5" t="s">
        <v>44</v>
      </c>
      <c r="C34" s="8">
        <f>COUNTA('Groups &amp; Contacts'!C7:C66)</f>
        <v>0</v>
      </c>
    </row>
    <row r="36" spans="2:3" x14ac:dyDescent="0.3">
      <c r="B36" s="32" t="s">
        <v>45</v>
      </c>
      <c r="C36" s="33"/>
    </row>
  </sheetData>
  <mergeCells count="3">
    <mergeCell ref="B1:C1"/>
    <mergeCell ref="B36:C36"/>
    <mergeCell ref="B2:C2"/>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36B78E"/>
  </sheetPr>
  <dimension ref="A1:N66"/>
  <sheetViews>
    <sheetView showGridLines="0" zoomScale="90" workbookViewId="0">
      <pane xSplit="2" ySplit="5" topLeftCell="C6" activePane="bottomRight" state="frozen"/>
      <selection pane="topRight"/>
      <selection pane="bottomLeft"/>
      <selection pane="bottomRight"/>
    </sheetView>
  </sheetViews>
  <sheetFormatPr defaultRowHeight="14.4" x14ac:dyDescent="0.3"/>
  <cols>
    <col min="1" max="1" width="12" customWidth="1"/>
    <col min="2" max="2" width="26" customWidth="1"/>
    <col min="3" max="3" width="30" customWidth="1"/>
    <col min="4" max="4" width="42" customWidth="1"/>
    <col min="5" max="5" width="26" customWidth="1"/>
    <col min="6" max="8" width="24" customWidth="1"/>
    <col min="9" max="10" width="28" customWidth="1"/>
    <col min="11" max="11" width="30" customWidth="1"/>
    <col min="12" max="12" width="13" customWidth="1"/>
    <col min="13" max="13" width="12" customWidth="1"/>
    <col min="14" max="14" width="30" customWidth="1"/>
  </cols>
  <sheetData>
    <row r="1" spans="1:14" ht="43.95" customHeight="1" x14ac:dyDescent="0.3">
      <c r="B1" s="30" t="s">
        <v>12</v>
      </c>
      <c r="C1" s="31"/>
      <c r="D1" s="31"/>
      <c r="E1" s="31"/>
      <c r="F1" s="31"/>
      <c r="G1" s="31"/>
      <c r="H1" s="31"/>
      <c r="I1" s="31"/>
      <c r="J1" s="31"/>
      <c r="K1" s="31"/>
      <c r="L1" s="31"/>
      <c r="M1" s="31"/>
      <c r="N1" s="31"/>
    </row>
    <row r="2" spans="1:14" ht="22.05" customHeight="1" x14ac:dyDescent="0.3">
      <c r="B2" s="34" t="s">
        <v>46</v>
      </c>
      <c r="C2" s="31"/>
      <c r="D2" s="31"/>
      <c r="E2" s="31"/>
      <c r="F2" s="31"/>
      <c r="G2" s="31"/>
      <c r="H2" s="31"/>
      <c r="I2" s="31"/>
      <c r="J2" s="31"/>
      <c r="K2" s="31"/>
      <c r="L2" s="31"/>
      <c r="M2" s="31"/>
      <c r="N2" s="31"/>
    </row>
    <row r="4" spans="1:14" x14ac:dyDescent="0.3">
      <c r="A4" s="9" t="s">
        <v>47</v>
      </c>
    </row>
    <row r="5" spans="1:14" ht="48" customHeight="1" x14ac:dyDescent="0.3">
      <c r="A5" s="10" t="s">
        <v>48</v>
      </c>
      <c r="B5" s="10" t="s">
        <v>49</v>
      </c>
      <c r="C5" s="10" t="s">
        <v>50</v>
      </c>
      <c r="D5" s="10" t="s">
        <v>51</v>
      </c>
      <c r="E5" s="10" t="s">
        <v>52</v>
      </c>
      <c r="F5" s="10" t="s">
        <v>53</v>
      </c>
      <c r="G5" s="10" t="s">
        <v>54</v>
      </c>
      <c r="H5" s="10" t="s">
        <v>55</v>
      </c>
      <c r="I5" s="10" t="s">
        <v>56</v>
      </c>
      <c r="J5" s="10" t="s">
        <v>57</v>
      </c>
      <c r="K5" s="10" t="s">
        <v>58</v>
      </c>
      <c r="L5" s="10" t="s">
        <v>59</v>
      </c>
      <c r="M5" s="10" t="s">
        <v>60</v>
      </c>
      <c r="N5" s="10" t="s">
        <v>61</v>
      </c>
    </row>
    <row r="6" spans="1:14" ht="52.8" x14ac:dyDescent="0.3">
      <c r="A6" s="11" t="s">
        <v>62</v>
      </c>
      <c r="B6" s="11" t="s">
        <v>63</v>
      </c>
      <c r="C6" s="11" t="s">
        <v>64</v>
      </c>
      <c r="D6" s="11" t="s">
        <v>65</v>
      </c>
      <c r="E6" s="11" t="s">
        <v>66</v>
      </c>
      <c r="F6" s="11" t="s">
        <v>67</v>
      </c>
      <c r="G6" s="11" t="s">
        <v>68</v>
      </c>
      <c r="H6" s="11" t="s">
        <v>68</v>
      </c>
      <c r="I6" s="11" t="s">
        <v>69</v>
      </c>
      <c r="J6" s="11" t="s">
        <v>70</v>
      </c>
      <c r="K6" s="11" t="s">
        <v>71</v>
      </c>
      <c r="L6" s="12">
        <f t="shared" ref="L6:L37" si="0">IF(C6="","",SUMPRODUCT((TRIM(F6:H6)&lt;&gt;"")*(TRIM(F6:H6)&lt;&gt;"None")*(TRIM(F6:H6)&lt;&gt;"-")))</f>
        <v>1</v>
      </c>
      <c r="M6" s="12">
        <f>IF(C6="","",COUNTIF('Request Form Fields'!$B$6:$B$66,C6))</f>
        <v>1</v>
      </c>
      <c r="N6" s="11" t="s">
        <v>72</v>
      </c>
    </row>
    <row r="7" spans="1:14" x14ac:dyDescent="0.3">
      <c r="A7" s="13" t="str">
        <f t="shared" ref="A7:A38" si="1">IF(C7="","","SVC-"&amp;TEXT(ROW()-5,"00"))</f>
        <v/>
      </c>
      <c r="B7" s="14"/>
      <c r="C7" s="14"/>
      <c r="D7" s="14"/>
      <c r="E7" s="14"/>
      <c r="F7" s="14"/>
      <c r="G7" s="14"/>
      <c r="H7" s="14"/>
      <c r="I7" s="14"/>
      <c r="J7" s="14"/>
      <c r="K7" s="14"/>
      <c r="L7" s="15" t="str">
        <f t="shared" si="0"/>
        <v/>
      </c>
      <c r="M7" s="15" t="str">
        <f>IF(C7="","",COUNTIF('Request Form Fields'!$B$6:$B$66,C7))</f>
        <v/>
      </c>
      <c r="N7" s="14"/>
    </row>
    <row r="8" spans="1:14" x14ac:dyDescent="0.3">
      <c r="A8" s="13" t="str">
        <f t="shared" si="1"/>
        <v/>
      </c>
      <c r="B8" s="14"/>
      <c r="C8" s="14"/>
      <c r="D8" s="14"/>
      <c r="E8" s="14"/>
      <c r="F8" s="14"/>
      <c r="G8" s="14"/>
      <c r="H8" s="14"/>
      <c r="I8" s="14"/>
      <c r="J8" s="14"/>
      <c r="K8" s="14"/>
      <c r="L8" s="15" t="str">
        <f t="shared" si="0"/>
        <v/>
      </c>
      <c r="M8" s="15" t="str">
        <f>IF(C8="","",COUNTIF('Request Form Fields'!$B$6:$B$66,C8))</f>
        <v/>
      </c>
      <c r="N8" s="14"/>
    </row>
    <row r="9" spans="1:14" x14ac:dyDescent="0.3">
      <c r="A9" s="13" t="str">
        <f t="shared" si="1"/>
        <v/>
      </c>
      <c r="B9" s="14"/>
      <c r="C9" s="14"/>
      <c r="D9" s="14"/>
      <c r="E9" s="14"/>
      <c r="F9" s="14"/>
      <c r="G9" s="14"/>
      <c r="H9" s="14"/>
      <c r="I9" s="14"/>
      <c r="J9" s="14"/>
      <c r="K9" s="14"/>
      <c r="L9" s="15" t="str">
        <f t="shared" si="0"/>
        <v/>
      </c>
      <c r="M9" s="15" t="str">
        <f>IF(C9="","",COUNTIF('Request Form Fields'!$B$6:$B$66,C9))</f>
        <v/>
      </c>
      <c r="N9" s="14"/>
    </row>
    <row r="10" spans="1:14" x14ac:dyDescent="0.3">
      <c r="A10" s="13" t="str">
        <f t="shared" si="1"/>
        <v/>
      </c>
      <c r="B10" s="14"/>
      <c r="C10" s="14"/>
      <c r="D10" s="14"/>
      <c r="E10" s="14"/>
      <c r="F10" s="14"/>
      <c r="G10" s="14"/>
      <c r="H10" s="14"/>
      <c r="I10" s="14"/>
      <c r="J10" s="14"/>
      <c r="K10" s="14"/>
      <c r="L10" s="15" t="str">
        <f t="shared" si="0"/>
        <v/>
      </c>
      <c r="M10" s="15" t="str">
        <f>IF(C10="","",COUNTIF('Request Form Fields'!$B$6:$B$66,C10))</f>
        <v/>
      </c>
      <c r="N10" s="14"/>
    </row>
    <row r="11" spans="1:14" x14ac:dyDescent="0.3">
      <c r="A11" s="13" t="str">
        <f t="shared" si="1"/>
        <v/>
      </c>
      <c r="B11" s="14"/>
      <c r="C11" s="14"/>
      <c r="D11" s="14"/>
      <c r="E11" s="14"/>
      <c r="F11" s="14"/>
      <c r="G11" s="14"/>
      <c r="H11" s="14"/>
      <c r="I11" s="14"/>
      <c r="J11" s="14"/>
      <c r="K11" s="14"/>
      <c r="L11" s="15" t="str">
        <f t="shared" si="0"/>
        <v/>
      </c>
      <c r="M11" s="15" t="str">
        <f>IF(C11="","",COUNTIF('Request Form Fields'!$B$6:$B$66,C11))</f>
        <v/>
      </c>
      <c r="N11" s="14"/>
    </row>
    <row r="12" spans="1:14" x14ac:dyDescent="0.3">
      <c r="A12" s="13" t="str">
        <f t="shared" si="1"/>
        <v/>
      </c>
      <c r="B12" s="14"/>
      <c r="C12" s="14"/>
      <c r="D12" s="14"/>
      <c r="E12" s="14"/>
      <c r="F12" s="14"/>
      <c r="G12" s="14"/>
      <c r="H12" s="14"/>
      <c r="I12" s="14"/>
      <c r="J12" s="14"/>
      <c r="K12" s="14"/>
      <c r="L12" s="15" t="str">
        <f t="shared" si="0"/>
        <v/>
      </c>
      <c r="M12" s="15" t="str">
        <f>IF(C12="","",COUNTIF('Request Form Fields'!$B$6:$B$66,C12))</f>
        <v/>
      </c>
      <c r="N12" s="14"/>
    </row>
    <row r="13" spans="1:14" x14ac:dyDescent="0.3">
      <c r="A13" s="13" t="str">
        <f t="shared" si="1"/>
        <v/>
      </c>
      <c r="B13" s="14"/>
      <c r="C13" s="14"/>
      <c r="D13" s="14"/>
      <c r="E13" s="14"/>
      <c r="F13" s="14"/>
      <c r="G13" s="14"/>
      <c r="H13" s="14"/>
      <c r="I13" s="14"/>
      <c r="J13" s="14"/>
      <c r="K13" s="14"/>
      <c r="L13" s="15" t="str">
        <f t="shared" si="0"/>
        <v/>
      </c>
      <c r="M13" s="15" t="str">
        <f>IF(C13="","",COUNTIF('Request Form Fields'!$B$6:$B$66,C13))</f>
        <v/>
      </c>
      <c r="N13" s="14"/>
    </row>
    <row r="14" spans="1:14" x14ac:dyDescent="0.3">
      <c r="A14" s="13" t="str">
        <f t="shared" si="1"/>
        <v/>
      </c>
      <c r="B14" s="14"/>
      <c r="C14" s="14"/>
      <c r="D14" s="14"/>
      <c r="E14" s="14"/>
      <c r="F14" s="14"/>
      <c r="G14" s="14"/>
      <c r="H14" s="14"/>
      <c r="I14" s="14"/>
      <c r="J14" s="14"/>
      <c r="K14" s="14"/>
      <c r="L14" s="15" t="str">
        <f t="shared" si="0"/>
        <v/>
      </c>
      <c r="M14" s="15" t="str">
        <f>IF(C14="","",COUNTIF('Request Form Fields'!$B$6:$B$66,C14))</f>
        <v/>
      </c>
      <c r="N14" s="14"/>
    </row>
    <row r="15" spans="1:14" x14ac:dyDescent="0.3">
      <c r="A15" s="13" t="str">
        <f t="shared" si="1"/>
        <v/>
      </c>
      <c r="B15" s="14"/>
      <c r="C15" s="14"/>
      <c r="D15" s="14"/>
      <c r="E15" s="14"/>
      <c r="F15" s="14"/>
      <c r="G15" s="14"/>
      <c r="H15" s="14"/>
      <c r="I15" s="14"/>
      <c r="J15" s="14"/>
      <c r="K15" s="14"/>
      <c r="L15" s="15" t="str">
        <f t="shared" si="0"/>
        <v/>
      </c>
      <c r="M15" s="15" t="str">
        <f>IF(C15="","",COUNTIF('Request Form Fields'!$B$6:$B$66,C15))</f>
        <v/>
      </c>
      <c r="N15" s="14"/>
    </row>
    <row r="16" spans="1:14" x14ac:dyDescent="0.3">
      <c r="A16" s="13" t="str">
        <f t="shared" si="1"/>
        <v/>
      </c>
      <c r="B16" s="14"/>
      <c r="C16" s="14"/>
      <c r="D16" s="14"/>
      <c r="E16" s="14"/>
      <c r="F16" s="14"/>
      <c r="G16" s="14"/>
      <c r="H16" s="14"/>
      <c r="I16" s="14"/>
      <c r="J16" s="14"/>
      <c r="K16" s="14"/>
      <c r="L16" s="15" t="str">
        <f t="shared" si="0"/>
        <v/>
      </c>
      <c r="M16" s="15" t="str">
        <f>IF(C16="","",COUNTIF('Request Form Fields'!$B$6:$B$66,C16))</f>
        <v/>
      </c>
      <c r="N16" s="14"/>
    </row>
    <row r="17" spans="1:14" x14ac:dyDescent="0.3">
      <c r="A17" s="13" t="str">
        <f t="shared" si="1"/>
        <v/>
      </c>
      <c r="B17" s="14"/>
      <c r="C17" s="14"/>
      <c r="D17" s="14"/>
      <c r="E17" s="14"/>
      <c r="F17" s="14"/>
      <c r="G17" s="14"/>
      <c r="H17" s="14"/>
      <c r="I17" s="14"/>
      <c r="J17" s="14"/>
      <c r="K17" s="14"/>
      <c r="L17" s="15" t="str">
        <f t="shared" si="0"/>
        <v/>
      </c>
      <c r="M17" s="15" t="str">
        <f>IF(C17="","",COUNTIF('Request Form Fields'!$B$6:$B$66,C17))</f>
        <v/>
      </c>
      <c r="N17" s="14"/>
    </row>
    <row r="18" spans="1:14" x14ac:dyDescent="0.3">
      <c r="A18" s="13" t="str">
        <f t="shared" si="1"/>
        <v/>
      </c>
      <c r="B18" s="14"/>
      <c r="C18" s="14"/>
      <c r="D18" s="14"/>
      <c r="E18" s="14"/>
      <c r="F18" s="14"/>
      <c r="G18" s="14"/>
      <c r="H18" s="14"/>
      <c r="I18" s="14"/>
      <c r="J18" s="14"/>
      <c r="K18" s="14"/>
      <c r="L18" s="15" t="str">
        <f t="shared" si="0"/>
        <v/>
      </c>
      <c r="M18" s="15" t="str">
        <f>IF(C18="","",COUNTIF('Request Form Fields'!$B$6:$B$66,C18))</f>
        <v/>
      </c>
      <c r="N18" s="14"/>
    </row>
    <row r="19" spans="1:14" x14ac:dyDescent="0.3">
      <c r="A19" s="13" t="str">
        <f t="shared" si="1"/>
        <v/>
      </c>
      <c r="B19" s="14"/>
      <c r="C19" s="14"/>
      <c r="D19" s="14"/>
      <c r="E19" s="14"/>
      <c r="F19" s="14"/>
      <c r="G19" s="14"/>
      <c r="H19" s="14"/>
      <c r="I19" s="14"/>
      <c r="J19" s="14"/>
      <c r="K19" s="14"/>
      <c r="L19" s="15" t="str">
        <f t="shared" si="0"/>
        <v/>
      </c>
      <c r="M19" s="15" t="str">
        <f>IF(C19="","",COUNTIF('Request Form Fields'!$B$6:$B$66,C19))</f>
        <v/>
      </c>
      <c r="N19" s="14"/>
    </row>
    <row r="20" spans="1:14" x14ac:dyDescent="0.3">
      <c r="A20" s="13" t="str">
        <f t="shared" si="1"/>
        <v/>
      </c>
      <c r="B20" s="14"/>
      <c r="C20" s="14"/>
      <c r="D20" s="14"/>
      <c r="E20" s="14"/>
      <c r="F20" s="14"/>
      <c r="G20" s="14"/>
      <c r="H20" s="14"/>
      <c r="I20" s="14"/>
      <c r="J20" s="14"/>
      <c r="K20" s="14"/>
      <c r="L20" s="15" t="str">
        <f t="shared" si="0"/>
        <v/>
      </c>
      <c r="M20" s="15" t="str">
        <f>IF(C20="","",COUNTIF('Request Form Fields'!$B$6:$B$66,C20))</f>
        <v/>
      </c>
      <c r="N20" s="14"/>
    </row>
    <row r="21" spans="1:14" x14ac:dyDescent="0.3">
      <c r="A21" s="13" t="str">
        <f t="shared" si="1"/>
        <v/>
      </c>
      <c r="B21" s="14"/>
      <c r="C21" s="14"/>
      <c r="D21" s="14"/>
      <c r="E21" s="14"/>
      <c r="F21" s="14"/>
      <c r="G21" s="14"/>
      <c r="H21" s="14"/>
      <c r="I21" s="14"/>
      <c r="J21" s="14"/>
      <c r="K21" s="14"/>
      <c r="L21" s="15" t="str">
        <f t="shared" si="0"/>
        <v/>
      </c>
      <c r="M21" s="15" t="str">
        <f>IF(C21="","",COUNTIF('Request Form Fields'!$B$6:$B$66,C21))</f>
        <v/>
      </c>
      <c r="N21" s="14"/>
    </row>
    <row r="22" spans="1:14" x14ac:dyDescent="0.3">
      <c r="A22" s="13" t="str">
        <f t="shared" si="1"/>
        <v/>
      </c>
      <c r="B22" s="14"/>
      <c r="C22" s="14"/>
      <c r="D22" s="14"/>
      <c r="E22" s="14"/>
      <c r="F22" s="14"/>
      <c r="G22" s="14"/>
      <c r="H22" s="14"/>
      <c r="I22" s="14"/>
      <c r="J22" s="14"/>
      <c r="K22" s="14"/>
      <c r="L22" s="15" t="str">
        <f t="shared" si="0"/>
        <v/>
      </c>
      <c r="M22" s="15" t="str">
        <f>IF(C22="","",COUNTIF('Request Form Fields'!$B$6:$B$66,C22))</f>
        <v/>
      </c>
      <c r="N22" s="14"/>
    </row>
    <row r="23" spans="1:14" x14ac:dyDescent="0.3">
      <c r="A23" s="13" t="str">
        <f t="shared" si="1"/>
        <v/>
      </c>
      <c r="B23" s="14"/>
      <c r="C23" s="14"/>
      <c r="D23" s="14"/>
      <c r="E23" s="14"/>
      <c r="F23" s="14"/>
      <c r="G23" s="14"/>
      <c r="H23" s="14"/>
      <c r="I23" s="14"/>
      <c r="J23" s="14"/>
      <c r="K23" s="14"/>
      <c r="L23" s="15" t="str">
        <f t="shared" si="0"/>
        <v/>
      </c>
      <c r="M23" s="15" t="str">
        <f>IF(C23="","",COUNTIF('Request Form Fields'!$B$6:$B$66,C23))</f>
        <v/>
      </c>
      <c r="N23" s="14"/>
    </row>
    <row r="24" spans="1:14" x14ac:dyDescent="0.3">
      <c r="A24" s="13" t="str">
        <f t="shared" si="1"/>
        <v/>
      </c>
      <c r="B24" s="14"/>
      <c r="C24" s="14"/>
      <c r="D24" s="14"/>
      <c r="E24" s="14"/>
      <c r="F24" s="14"/>
      <c r="G24" s="14"/>
      <c r="H24" s="14"/>
      <c r="I24" s="14"/>
      <c r="J24" s="14"/>
      <c r="K24" s="14"/>
      <c r="L24" s="15" t="str">
        <f t="shared" si="0"/>
        <v/>
      </c>
      <c r="M24" s="15" t="str">
        <f>IF(C24="","",COUNTIF('Request Form Fields'!$B$6:$B$66,C24))</f>
        <v/>
      </c>
      <c r="N24" s="14"/>
    </row>
    <row r="25" spans="1:14" x14ac:dyDescent="0.3">
      <c r="A25" s="13" t="str">
        <f t="shared" si="1"/>
        <v/>
      </c>
      <c r="B25" s="14"/>
      <c r="C25" s="14"/>
      <c r="D25" s="14"/>
      <c r="E25" s="14"/>
      <c r="F25" s="14"/>
      <c r="G25" s="14"/>
      <c r="H25" s="14"/>
      <c r="I25" s="14"/>
      <c r="J25" s="14"/>
      <c r="K25" s="14"/>
      <c r="L25" s="15" t="str">
        <f t="shared" si="0"/>
        <v/>
      </c>
      <c r="M25" s="15" t="str">
        <f>IF(C25="","",COUNTIF('Request Form Fields'!$B$6:$B$66,C25))</f>
        <v/>
      </c>
      <c r="N25" s="14"/>
    </row>
    <row r="26" spans="1:14" x14ac:dyDescent="0.3">
      <c r="A26" s="13" t="str">
        <f t="shared" si="1"/>
        <v/>
      </c>
      <c r="B26" s="14"/>
      <c r="C26" s="14"/>
      <c r="D26" s="14"/>
      <c r="E26" s="14"/>
      <c r="F26" s="14"/>
      <c r="G26" s="14"/>
      <c r="H26" s="14"/>
      <c r="I26" s="14"/>
      <c r="J26" s="14"/>
      <c r="K26" s="14"/>
      <c r="L26" s="15" t="str">
        <f t="shared" si="0"/>
        <v/>
      </c>
      <c r="M26" s="15" t="str">
        <f>IF(C26="","",COUNTIF('Request Form Fields'!$B$6:$B$66,C26))</f>
        <v/>
      </c>
      <c r="N26" s="14"/>
    </row>
    <row r="27" spans="1:14" x14ac:dyDescent="0.3">
      <c r="A27" s="13" t="str">
        <f t="shared" si="1"/>
        <v/>
      </c>
      <c r="B27" s="14"/>
      <c r="C27" s="14"/>
      <c r="D27" s="14"/>
      <c r="E27" s="14"/>
      <c r="F27" s="14"/>
      <c r="G27" s="14"/>
      <c r="H27" s="14"/>
      <c r="I27" s="14"/>
      <c r="J27" s="14"/>
      <c r="K27" s="14"/>
      <c r="L27" s="15" t="str">
        <f t="shared" si="0"/>
        <v/>
      </c>
      <c r="M27" s="15" t="str">
        <f>IF(C27="","",COUNTIF('Request Form Fields'!$B$6:$B$66,C27))</f>
        <v/>
      </c>
      <c r="N27" s="14"/>
    </row>
    <row r="28" spans="1:14" x14ac:dyDescent="0.3">
      <c r="A28" s="13" t="str">
        <f t="shared" si="1"/>
        <v/>
      </c>
      <c r="B28" s="14"/>
      <c r="C28" s="14"/>
      <c r="D28" s="14"/>
      <c r="E28" s="14"/>
      <c r="F28" s="14"/>
      <c r="G28" s="14"/>
      <c r="H28" s="14"/>
      <c r="I28" s="14"/>
      <c r="J28" s="14"/>
      <c r="K28" s="14"/>
      <c r="L28" s="15" t="str">
        <f t="shared" si="0"/>
        <v/>
      </c>
      <c r="M28" s="15" t="str">
        <f>IF(C28="","",COUNTIF('Request Form Fields'!$B$6:$B$66,C28))</f>
        <v/>
      </c>
      <c r="N28" s="14"/>
    </row>
    <row r="29" spans="1:14" x14ac:dyDescent="0.3">
      <c r="A29" s="13" t="str">
        <f t="shared" si="1"/>
        <v/>
      </c>
      <c r="B29" s="14"/>
      <c r="C29" s="14"/>
      <c r="D29" s="14"/>
      <c r="E29" s="14"/>
      <c r="F29" s="14"/>
      <c r="G29" s="14"/>
      <c r="H29" s="14"/>
      <c r="I29" s="14"/>
      <c r="J29" s="14"/>
      <c r="K29" s="14"/>
      <c r="L29" s="15" t="str">
        <f t="shared" si="0"/>
        <v/>
      </c>
      <c r="M29" s="15" t="str">
        <f>IF(C29="","",COUNTIF('Request Form Fields'!$B$6:$B$66,C29))</f>
        <v/>
      </c>
      <c r="N29" s="14"/>
    </row>
    <row r="30" spans="1:14" x14ac:dyDescent="0.3">
      <c r="A30" s="13" t="str">
        <f t="shared" si="1"/>
        <v/>
      </c>
      <c r="B30" s="14"/>
      <c r="C30" s="14"/>
      <c r="D30" s="14"/>
      <c r="E30" s="14"/>
      <c r="F30" s="14"/>
      <c r="G30" s="14"/>
      <c r="H30" s="14"/>
      <c r="I30" s="14"/>
      <c r="J30" s="14"/>
      <c r="K30" s="14"/>
      <c r="L30" s="15" t="str">
        <f t="shared" si="0"/>
        <v/>
      </c>
      <c r="M30" s="15" t="str">
        <f>IF(C30="","",COUNTIF('Request Form Fields'!$B$6:$B$66,C30))</f>
        <v/>
      </c>
      <c r="N30" s="14"/>
    </row>
    <row r="31" spans="1:14" x14ac:dyDescent="0.3">
      <c r="A31" s="13" t="str">
        <f t="shared" si="1"/>
        <v/>
      </c>
      <c r="B31" s="14"/>
      <c r="C31" s="14"/>
      <c r="D31" s="14"/>
      <c r="E31" s="14"/>
      <c r="F31" s="14"/>
      <c r="G31" s="14"/>
      <c r="H31" s="14"/>
      <c r="I31" s="14"/>
      <c r="J31" s="14"/>
      <c r="K31" s="14"/>
      <c r="L31" s="15" t="str">
        <f t="shared" si="0"/>
        <v/>
      </c>
      <c r="M31" s="15" t="str">
        <f>IF(C31="","",COUNTIF('Request Form Fields'!$B$6:$B$66,C31))</f>
        <v/>
      </c>
      <c r="N31" s="14"/>
    </row>
    <row r="32" spans="1:14" x14ac:dyDescent="0.3">
      <c r="A32" s="13" t="str">
        <f t="shared" si="1"/>
        <v/>
      </c>
      <c r="B32" s="14"/>
      <c r="C32" s="14"/>
      <c r="D32" s="14"/>
      <c r="E32" s="14"/>
      <c r="F32" s="14"/>
      <c r="G32" s="14"/>
      <c r="H32" s="14"/>
      <c r="I32" s="14"/>
      <c r="J32" s="14"/>
      <c r="K32" s="14"/>
      <c r="L32" s="15" t="str">
        <f t="shared" si="0"/>
        <v/>
      </c>
      <c r="M32" s="15" t="str">
        <f>IF(C32="","",COUNTIF('Request Form Fields'!$B$6:$B$66,C32))</f>
        <v/>
      </c>
      <c r="N32" s="14"/>
    </row>
    <row r="33" spans="1:14" x14ac:dyDescent="0.3">
      <c r="A33" s="13" t="str">
        <f t="shared" si="1"/>
        <v/>
      </c>
      <c r="B33" s="14"/>
      <c r="C33" s="14"/>
      <c r="D33" s="14"/>
      <c r="E33" s="14"/>
      <c r="F33" s="14"/>
      <c r="G33" s="14"/>
      <c r="H33" s="14"/>
      <c r="I33" s="14"/>
      <c r="J33" s="14"/>
      <c r="K33" s="14"/>
      <c r="L33" s="15" t="str">
        <f t="shared" si="0"/>
        <v/>
      </c>
      <c r="M33" s="15" t="str">
        <f>IF(C33="","",COUNTIF('Request Form Fields'!$B$6:$B$66,C33))</f>
        <v/>
      </c>
      <c r="N33" s="14"/>
    </row>
    <row r="34" spans="1:14" x14ac:dyDescent="0.3">
      <c r="A34" s="13" t="str">
        <f t="shared" si="1"/>
        <v/>
      </c>
      <c r="B34" s="14"/>
      <c r="C34" s="14"/>
      <c r="D34" s="14"/>
      <c r="E34" s="14"/>
      <c r="F34" s="14"/>
      <c r="G34" s="14"/>
      <c r="H34" s="14"/>
      <c r="I34" s="14"/>
      <c r="J34" s="14"/>
      <c r="K34" s="14"/>
      <c r="L34" s="15" t="str">
        <f t="shared" si="0"/>
        <v/>
      </c>
      <c r="M34" s="15" t="str">
        <f>IF(C34="","",COUNTIF('Request Form Fields'!$B$6:$B$66,C34))</f>
        <v/>
      </c>
      <c r="N34" s="14"/>
    </row>
    <row r="35" spans="1:14" x14ac:dyDescent="0.3">
      <c r="A35" s="13" t="str">
        <f t="shared" si="1"/>
        <v/>
      </c>
      <c r="B35" s="14"/>
      <c r="C35" s="14"/>
      <c r="D35" s="14"/>
      <c r="E35" s="14"/>
      <c r="F35" s="14"/>
      <c r="G35" s="14"/>
      <c r="H35" s="14"/>
      <c r="I35" s="14"/>
      <c r="J35" s="14"/>
      <c r="K35" s="14"/>
      <c r="L35" s="15" t="str">
        <f t="shared" si="0"/>
        <v/>
      </c>
      <c r="M35" s="15" t="str">
        <f>IF(C35="","",COUNTIF('Request Form Fields'!$B$6:$B$66,C35))</f>
        <v/>
      </c>
      <c r="N35" s="14"/>
    </row>
    <row r="36" spans="1:14" x14ac:dyDescent="0.3">
      <c r="A36" s="13" t="str">
        <f t="shared" si="1"/>
        <v/>
      </c>
      <c r="B36" s="14"/>
      <c r="C36" s="14"/>
      <c r="D36" s="14"/>
      <c r="E36" s="14"/>
      <c r="F36" s="14"/>
      <c r="G36" s="14"/>
      <c r="H36" s="14"/>
      <c r="I36" s="14"/>
      <c r="J36" s="14"/>
      <c r="K36" s="14"/>
      <c r="L36" s="15" t="str">
        <f t="shared" si="0"/>
        <v/>
      </c>
      <c r="M36" s="15" t="str">
        <f>IF(C36="","",COUNTIF('Request Form Fields'!$B$6:$B$66,C36))</f>
        <v/>
      </c>
      <c r="N36" s="14"/>
    </row>
    <row r="37" spans="1:14" x14ac:dyDescent="0.3">
      <c r="A37" s="13" t="str">
        <f t="shared" si="1"/>
        <v/>
      </c>
      <c r="B37" s="14"/>
      <c r="C37" s="14"/>
      <c r="D37" s="14"/>
      <c r="E37" s="14"/>
      <c r="F37" s="14"/>
      <c r="G37" s="14"/>
      <c r="H37" s="14"/>
      <c r="I37" s="14"/>
      <c r="J37" s="14"/>
      <c r="K37" s="14"/>
      <c r="L37" s="15" t="str">
        <f t="shared" si="0"/>
        <v/>
      </c>
      <c r="M37" s="15" t="str">
        <f>IF(C37="","",COUNTIF('Request Form Fields'!$B$6:$B$66,C37))</f>
        <v/>
      </c>
      <c r="N37" s="14"/>
    </row>
    <row r="38" spans="1:14" x14ac:dyDescent="0.3">
      <c r="A38" s="13" t="str">
        <f t="shared" si="1"/>
        <v/>
      </c>
      <c r="B38" s="14"/>
      <c r="C38" s="14"/>
      <c r="D38" s="14"/>
      <c r="E38" s="14"/>
      <c r="F38" s="14"/>
      <c r="G38" s="14"/>
      <c r="H38" s="14"/>
      <c r="I38" s="14"/>
      <c r="J38" s="14"/>
      <c r="K38" s="14"/>
      <c r="L38" s="15" t="str">
        <f t="shared" ref="L38:L66" si="2">IF(C38="","",SUMPRODUCT((TRIM(F38:H38)&lt;&gt;"")*(TRIM(F38:H38)&lt;&gt;"None")*(TRIM(F38:H38)&lt;&gt;"-")))</f>
        <v/>
      </c>
      <c r="M38" s="15" t="str">
        <f>IF(C38="","",COUNTIF('Request Form Fields'!$B$6:$B$66,C38))</f>
        <v/>
      </c>
      <c r="N38" s="14"/>
    </row>
    <row r="39" spans="1:14" x14ac:dyDescent="0.3">
      <c r="A39" s="13" t="str">
        <f t="shared" ref="A39:A66" si="3">IF(C39="","","SVC-"&amp;TEXT(ROW()-5,"00"))</f>
        <v/>
      </c>
      <c r="B39" s="14"/>
      <c r="C39" s="14"/>
      <c r="D39" s="14"/>
      <c r="E39" s="14"/>
      <c r="F39" s="14"/>
      <c r="G39" s="14"/>
      <c r="H39" s="14"/>
      <c r="I39" s="14"/>
      <c r="J39" s="14"/>
      <c r="K39" s="14"/>
      <c r="L39" s="15" t="str">
        <f t="shared" si="2"/>
        <v/>
      </c>
      <c r="M39" s="15" t="str">
        <f>IF(C39="","",COUNTIF('Request Form Fields'!$B$6:$B$66,C39))</f>
        <v/>
      </c>
      <c r="N39" s="14"/>
    </row>
    <row r="40" spans="1:14" x14ac:dyDescent="0.3">
      <c r="A40" s="13" t="str">
        <f t="shared" si="3"/>
        <v/>
      </c>
      <c r="B40" s="14"/>
      <c r="C40" s="14"/>
      <c r="D40" s="14"/>
      <c r="E40" s="14"/>
      <c r="F40" s="14"/>
      <c r="G40" s="14"/>
      <c r="H40" s="14"/>
      <c r="I40" s="14"/>
      <c r="J40" s="14"/>
      <c r="K40" s="14"/>
      <c r="L40" s="15" t="str">
        <f t="shared" si="2"/>
        <v/>
      </c>
      <c r="M40" s="15" t="str">
        <f>IF(C40="","",COUNTIF('Request Form Fields'!$B$6:$B$66,C40))</f>
        <v/>
      </c>
      <c r="N40" s="14"/>
    </row>
    <row r="41" spans="1:14" x14ac:dyDescent="0.3">
      <c r="A41" s="13" t="str">
        <f t="shared" si="3"/>
        <v/>
      </c>
      <c r="B41" s="14"/>
      <c r="C41" s="14"/>
      <c r="D41" s="14"/>
      <c r="E41" s="14"/>
      <c r="F41" s="14"/>
      <c r="G41" s="14"/>
      <c r="H41" s="14"/>
      <c r="I41" s="14"/>
      <c r="J41" s="14"/>
      <c r="K41" s="14"/>
      <c r="L41" s="15" t="str">
        <f t="shared" si="2"/>
        <v/>
      </c>
      <c r="M41" s="15" t="str">
        <f>IF(C41="","",COUNTIF('Request Form Fields'!$B$6:$B$66,C41))</f>
        <v/>
      </c>
      <c r="N41" s="14"/>
    </row>
    <row r="42" spans="1:14" x14ac:dyDescent="0.3">
      <c r="A42" s="13" t="str">
        <f t="shared" si="3"/>
        <v/>
      </c>
      <c r="B42" s="14"/>
      <c r="C42" s="14"/>
      <c r="D42" s="14"/>
      <c r="E42" s="14"/>
      <c r="F42" s="14"/>
      <c r="G42" s="14"/>
      <c r="H42" s="14"/>
      <c r="I42" s="14"/>
      <c r="J42" s="14"/>
      <c r="K42" s="14"/>
      <c r="L42" s="15" t="str">
        <f t="shared" si="2"/>
        <v/>
      </c>
      <c r="M42" s="15" t="str">
        <f>IF(C42="","",COUNTIF('Request Form Fields'!$B$6:$B$66,C42))</f>
        <v/>
      </c>
      <c r="N42" s="14"/>
    </row>
    <row r="43" spans="1:14" x14ac:dyDescent="0.3">
      <c r="A43" s="13" t="str">
        <f t="shared" si="3"/>
        <v/>
      </c>
      <c r="B43" s="14"/>
      <c r="C43" s="14"/>
      <c r="D43" s="14"/>
      <c r="E43" s="14"/>
      <c r="F43" s="14"/>
      <c r="G43" s="14"/>
      <c r="H43" s="14"/>
      <c r="I43" s="14"/>
      <c r="J43" s="14"/>
      <c r="K43" s="14"/>
      <c r="L43" s="15" t="str">
        <f t="shared" si="2"/>
        <v/>
      </c>
      <c r="M43" s="15" t="str">
        <f>IF(C43="","",COUNTIF('Request Form Fields'!$B$6:$B$66,C43))</f>
        <v/>
      </c>
      <c r="N43" s="14"/>
    </row>
    <row r="44" spans="1:14" x14ac:dyDescent="0.3">
      <c r="A44" s="13" t="str">
        <f t="shared" si="3"/>
        <v/>
      </c>
      <c r="B44" s="14"/>
      <c r="C44" s="14"/>
      <c r="D44" s="14"/>
      <c r="E44" s="14"/>
      <c r="F44" s="14"/>
      <c r="G44" s="14"/>
      <c r="H44" s="14"/>
      <c r="I44" s="14"/>
      <c r="J44" s="14"/>
      <c r="K44" s="14"/>
      <c r="L44" s="15" t="str">
        <f t="shared" si="2"/>
        <v/>
      </c>
      <c r="M44" s="15" t="str">
        <f>IF(C44="","",COUNTIF('Request Form Fields'!$B$6:$B$66,C44))</f>
        <v/>
      </c>
      <c r="N44" s="14"/>
    </row>
    <row r="45" spans="1:14" x14ac:dyDescent="0.3">
      <c r="A45" s="13" t="str">
        <f t="shared" si="3"/>
        <v/>
      </c>
      <c r="B45" s="14"/>
      <c r="C45" s="14"/>
      <c r="D45" s="14"/>
      <c r="E45" s="14"/>
      <c r="F45" s="14"/>
      <c r="G45" s="14"/>
      <c r="H45" s="14"/>
      <c r="I45" s="14"/>
      <c r="J45" s="14"/>
      <c r="K45" s="14"/>
      <c r="L45" s="15" t="str">
        <f t="shared" si="2"/>
        <v/>
      </c>
      <c r="M45" s="15" t="str">
        <f>IF(C45="","",COUNTIF('Request Form Fields'!$B$6:$B$66,C45))</f>
        <v/>
      </c>
      <c r="N45" s="14"/>
    </row>
    <row r="46" spans="1:14" x14ac:dyDescent="0.3">
      <c r="A46" s="13" t="str">
        <f t="shared" si="3"/>
        <v/>
      </c>
      <c r="B46" s="14"/>
      <c r="C46" s="14"/>
      <c r="D46" s="14"/>
      <c r="E46" s="14"/>
      <c r="F46" s="14"/>
      <c r="G46" s="14"/>
      <c r="H46" s="14"/>
      <c r="I46" s="14"/>
      <c r="J46" s="14"/>
      <c r="K46" s="14"/>
      <c r="L46" s="15" t="str">
        <f t="shared" si="2"/>
        <v/>
      </c>
      <c r="M46" s="15" t="str">
        <f>IF(C46="","",COUNTIF('Request Form Fields'!$B$6:$B$66,C46))</f>
        <v/>
      </c>
      <c r="N46" s="14"/>
    </row>
    <row r="47" spans="1:14" x14ac:dyDescent="0.3">
      <c r="A47" s="13" t="str">
        <f t="shared" si="3"/>
        <v/>
      </c>
      <c r="B47" s="14"/>
      <c r="C47" s="14"/>
      <c r="D47" s="14"/>
      <c r="E47" s="14"/>
      <c r="F47" s="14"/>
      <c r="G47" s="14"/>
      <c r="H47" s="14"/>
      <c r="I47" s="14"/>
      <c r="J47" s="14"/>
      <c r="K47" s="14"/>
      <c r="L47" s="15" t="str">
        <f t="shared" si="2"/>
        <v/>
      </c>
      <c r="M47" s="15" t="str">
        <f>IF(C47="","",COUNTIF('Request Form Fields'!$B$6:$B$66,C47))</f>
        <v/>
      </c>
      <c r="N47" s="14"/>
    </row>
    <row r="48" spans="1:14" x14ac:dyDescent="0.3">
      <c r="A48" s="13" t="str">
        <f t="shared" si="3"/>
        <v/>
      </c>
      <c r="B48" s="14"/>
      <c r="C48" s="14"/>
      <c r="D48" s="14"/>
      <c r="E48" s="14"/>
      <c r="F48" s="14"/>
      <c r="G48" s="14"/>
      <c r="H48" s="14"/>
      <c r="I48" s="14"/>
      <c r="J48" s="14"/>
      <c r="K48" s="14"/>
      <c r="L48" s="15" t="str">
        <f t="shared" si="2"/>
        <v/>
      </c>
      <c r="M48" s="15" t="str">
        <f>IF(C48="","",COUNTIF('Request Form Fields'!$B$6:$B$66,C48))</f>
        <v/>
      </c>
      <c r="N48" s="14"/>
    </row>
    <row r="49" spans="1:14" x14ac:dyDescent="0.3">
      <c r="A49" s="13" t="str">
        <f t="shared" si="3"/>
        <v/>
      </c>
      <c r="B49" s="14"/>
      <c r="C49" s="14"/>
      <c r="D49" s="14"/>
      <c r="E49" s="14"/>
      <c r="F49" s="14"/>
      <c r="G49" s="14"/>
      <c r="H49" s="14"/>
      <c r="I49" s="14"/>
      <c r="J49" s="14"/>
      <c r="K49" s="14"/>
      <c r="L49" s="15" t="str">
        <f t="shared" si="2"/>
        <v/>
      </c>
      <c r="M49" s="15" t="str">
        <f>IF(C49="","",COUNTIF('Request Form Fields'!$B$6:$B$66,C49))</f>
        <v/>
      </c>
      <c r="N49" s="14"/>
    </row>
    <row r="50" spans="1:14" x14ac:dyDescent="0.3">
      <c r="A50" s="13" t="str">
        <f t="shared" si="3"/>
        <v/>
      </c>
      <c r="B50" s="14"/>
      <c r="C50" s="14"/>
      <c r="D50" s="14"/>
      <c r="E50" s="14"/>
      <c r="F50" s="14"/>
      <c r="G50" s="14"/>
      <c r="H50" s="14"/>
      <c r="I50" s="14"/>
      <c r="J50" s="14"/>
      <c r="K50" s="14"/>
      <c r="L50" s="15" t="str">
        <f t="shared" si="2"/>
        <v/>
      </c>
      <c r="M50" s="15" t="str">
        <f>IF(C50="","",COUNTIF('Request Form Fields'!$B$6:$B$66,C50))</f>
        <v/>
      </c>
      <c r="N50" s="14"/>
    </row>
    <row r="51" spans="1:14" x14ac:dyDescent="0.3">
      <c r="A51" s="13" t="str">
        <f t="shared" si="3"/>
        <v/>
      </c>
      <c r="B51" s="14"/>
      <c r="C51" s="14"/>
      <c r="D51" s="14"/>
      <c r="E51" s="14"/>
      <c r="F51" s="14"/>
      <c r="G51" s="14"/>
      <c r="H51" s="14"/>
      <c r="I51" s="14"/>
      <c r="J51" s="14"/>
      <c r="K51" s="14"/>
      <c r="L51" s="15" t="str">
        <f t="shared" si="2"/>
        <v/>
      </c>
      <c r="M51" s="15" t="str">
        <f>IF(C51="","",COUNTIF('Request Form Fields'!$B$6:$B$66,C51))</f>
        <v/>
      </c>
      <c r="N51" s="14"/>
    </row>
    <row r="52" spans="1:14" x14ac:dyDescent="0.3">
      <c r="A52" s="13" t="str">
        <f t="shared" si="3"/>
        <v/>
      </c>
      <c r="B52" s="14"/>
      <c r="C52" s="14"/>
      <c r="D52" s="14"/>
      <c r="E52" s="14"/>
      <c r="F52" s="14"/>
      <c r="G52" s="14"/>
      <c r="H52" s="14"/>
      <c r="I52" s="14"/>
      <c r="J52" s="14"/>
      <c r="K52" s="14"/>
      <c r="L52" s="15" t="str">
        <f t="shared" si="2"/>
        <v/>
      </c>
      <c r="M52" s="15" t="str">
        <f>IF(C52="","",COUNTIF('Request Form Fields'!$B$6:$B$66,C52))</f>
        <v/>
      </c>
      <c r="N52" s="14"/>
    </row>
    <row r="53" spans="1:14" x14ac:dyDescent="0.3">
      <c r="A53" s="13" t="str">
        <f t="shared" si="3"/>
        <v/>
      </c>
      <c r="B53" s="14"/>
      <c r="C53" s="14"/>
      <c r="D53" s="14"/>
      <c r="E53" s="14"/>
      <c r="F53" s="14"/>
      <c r="G53" s="14"/>
      <c r="H53" s="14"/>
      <c r="I53" s="14"/>
      <c r="J53" s="14"/>
      <c r="K53" s="14"/>
      <c r="L53" s="15" t="str">
        <f t="shared" si="2"/>
        <v/>
      </c>
      <c r="M53" s="15" t="str">
        <f>IF(C53="","",COUNTIF('Request Form Fields'!$B$6:$B$66,C53))</f>
        <v/>
      </c>
      <c r="N53" s="14"/>
    </row>
    <row r="54" spans="1:14" x14ac:dyDescent="0.3">
      <c r="A54" s="13" t="str">
        <f t="shared" si="3"/>
        <v/>
      </c>
      <c r="B54" s="14"/>
      <c r="C54" s="14"/>
      <c r="D54" s="14"/>
      <c r="E54" s="14"/>
      <c r="F54" s="14"/>
      <c r="G54" s="14"/>
      <c r="H54" s="14"/>
      <c r="I54" s="14"/>
      <c r="J54" s="14"/>
      <c r="K54" s="14"/>
      <c r="L54" s="15" t="str">
        <f t="shared" si="2"/>
        <v/>
      </c>
      <c r="M54" s="15" t="str">
        <f>IF(C54="","",COUNTIF('Request Form Fields'!$B$6:$B$66,C54))</f>
        <v/>
      </c>
      <c r="N54" s="14"/>
    </row>
    <row r="55" spans="1:14" x14ac:dyDescent="0.3">
      <c r="A55" s="13" t="str">
        <f t="shared" si="3"/>
        <v/>
      </c>
      <c r="B55" s="14"/>
      <c r="C55" s="14"/>
      <c r="D55" s="14"/>
      <c r="E55" s="14"/>
      <c r="F55" s="14"/>
      <c r="G55" s="14"/>
      <c r="H55" s="14"/>
      <c r="I55" s="14"/>
      <c r="J55" s="14"/>
      <c r="K55" s="14"/>
      <c r="L55" s="15" t="str">
        <f t="shared" si="2"/>
        <v/>
      </c>
      <c r="M55" s="15" t="str">
        <f>IF(C55="","",COUNTIF('Request Form Fields'!$B$6:$B$66,C55))</f>
        <v/>
      </c>
      <c r="N55" s="14"/>
    </row>
    <row r="56" spans="1:14" x14ac:dyDescent="0.3">
      <c r="A56" s="13" t="str">
        <f t="shared" si="3"/>
        <v/>
      </c>
      <c r="B56" s="14"/>
      <c r="C56" s="14"/>
      <c r="D56" s="14"/>
      <c r="E56" s="14"/>
      <c r="F56" s="14"/>
      <c r="G56" s="14"/>
      <c r="H56" s="14"/>
      <c r="I56" s="14"/>
      <c r="J56" s="14"/>
      <c r="K56" s="14"/>
      <c r="L56" s="15" t="str">
        <f t="shared" si="2"/>
        <v/>
      </c>
      <c r="M56" s="15" t="str">
        <f>IF(C56="","",COUNTIF('Request Form Fields'!$B$6:$B$66,C56))</f>
        <v/>
      </c>
      <c r="N56" s="14"/>
    </row>
    <row r="57" spans="1:14" x14ac:dyDescent="0.3">
      <c r="A57" s="13" t="str">
        <f t="shared" si="3"/>
        <v/>
      </c>
      <c r="B57" s="14"/>
      <c r="C57" s="14"/>
      <c r="D57" s="14"/>
      <c r="E57" s="14"/>
      <c r="F57" s="14"/>
      <c r="G57" s="14"/>
      <c r="H57" s="14"/>
      <c r="I57" s="14"/>
      <c r="J57" s="14"/>
      <c r="K57" s="14"/>
      <c r="L57" s="15" t="str">
        <f t="shared" si="2"/>
        <v/>
      </c>
      <c r="M57" s="15" t="str">
        <f>IF(C57="","",COUNTIF('Request Form Fields'!$B$6:$B$66,C57))</f>
        <v/>
      </c>
      <c r="N57" s="14"/>
    </row>
    <row r="58" spans="1:14" x14ac:dyDescent="0.3">
      <c r="A58" s="13" t="str">
        <f t="shared" si="3"/>
        <v/>
      </c>
      <c r="B58" s="14"/>
      <c r="C58" s="14"/>
      <c r="D58" s="14"/>
      <c r="E58" s="14"/>
      <c r="F58" s="14"/>
      <c r="G58" s="14"/>
      <c r="H58" s="14"/>
      <c r="I58" s="14"/>
      <c r="J58" s="14"/>
      <c r="K58" s="14"/>
      <c r="L58" s="15" t="str">
        <f t="shared" si="2"/>
        <v/>
      </c>
      <c r="M58" s="15" t="str">
        <f>IF(C58="","",COUNTIF('Request Form Fields'!$B$6:$B$66,C58))</f>
        <v/>
      </c>
      <c r="N58" s="14"/>
    </row>
    <row r="59" spans="1:14" x14ac:dyDescent="0.3">
      <c r="A59" s="13" t="str">
        <f t="shared" si="3"/>
        <v/>
      </c>
      <c r="B59" s="14"/>
      <c r="C59" s="14"/>
      <c r="D59" s="14"/>
      <c r="E59" s="14"/>
      <c r="F59" s="14"/>
      <c r="G59" s="14"/>
      <c r="H59" s="14"/>
      <c r="I59" s="14"/>
      <c r="J59" s="14"/>
      <c r="K59" s="14"/>
      <c r="L59" s="15" t="str">
        <f t="shared" si="2"/>
        <v/>
      </c>
      <c r="M59" s="15" t="str">
        <f>IF(C59="","",COUNTIF('Request Form Fields'!$B$6:$B$66,C59))</f>
        <v/>
      </c>
      <c r="N59" s="14"/>
    </row>
    <row r="60" spans="1:14" x14ac:dyDescent="0.3">
      <c r="A60" s="13" t="str">
        <f t="shared" si="3"/>
        <v/>
      </c>
      <c r="B60" s="14"/>
      <c r="C60" s="14"/>
      <c r="D60" s="14"/>
      <c r="E60" s="14"/>
      <c r="F60" s="14"/>
      <c r="G60" s="14"/>
      <c r="H60" s="14"/>
      <c r="I60" s="14"/>
      <c r="J60" s="14"/>
      <c r="K60" s="14"/>
      <c r="L60" s="15" t="str">
        <f t="shared" si="2"/>
        <v/>
      </c>
      <c r="M60" s="15" t="str">
        <f>IF(C60="","",COUNTIF('Request Form Fields'!$B$6:$B$66,C60))</f>
        <v/>
      </c>
      <c r="N60" s="14"/>
    </row>
    <row r="61" spans="1:14" x14ac:dyDescent="0.3">
      <c r="A61" s="13" t="str">
        <f t="shared" si="3"/>
        <v/>
      </c>
      <c r="B61" s="14"/>
      <c r="C61" s="14"/>
      <c r="D61" s="14"/>
      <c r="E61" s="14"/>
      <c r="F61" s="14"/>
      <c r="G61" s="14"/>
      <c r="H61" s="14"/>
      <c r="I61" s="14"/>
      <c r="J61" s="14"/>
      <c r="K61" s="14"/>
      <c r="L61" s="15" t="str">
        <f t="shared" si="2"/>
        <v/>
      </c>
      <c r="M61" s="15" t="str">
        <f>IF(C61="","",COUNTIF('Request Form Fields'!$B$6:$B$66,C61))</f>
        <v/>
      </c>
      <c r="N61" s="14"/>
    </row>
    <row r="62" spans="1:14" x14ac:dyDescent="0.3">
      <c r="A62" s="13" t="str">
        <f t="shared" si="3"/>
        <v/>
      </c>
      <c r="B62" s="14"/>
      <c r="C62" s="14"/>
      <c r="D62" s="14"/>
      <c r="E62" s="14"/>
      <c r="F62" s="14"/>
      <c r="G62" s="14"/>
      <c r="H62" s="14"/>
      <c r="I62" s="14"/>
      <c r="J62" s="14"/>
      <c r="K62" s="14"/>
      <c r="L62" s="15" t="str">
        <f t="shared" si="2"/>
        <v/>
      </c>
      <c r="M62" s="15" t="str">
        <f>IF(C62="","",COUNTIF('Request Form Fields'!$B$6:$B$66,C62))</f>
        <v/>
      </c>
      <c r="N62" s="14"/>
    </row>
    <row r="63" spans="1:14" x14ac:dyDescent="0.3">
      <c r="A63" s="13" t="str">
        <f t="shared" si="3"/>
        <v/>
      </c>
      <c r="B63" s="14"/>
      <c r="C63" s="14"/>
      <c r="D63" s="14"/>
      <c r="E63" s="14"/>
      <c r="F63" s="14"/>
      <c r="G63" s="14"/>
      <c r="H63" s="14"/>
      <c r="I63" s="14"/>
      <c r="J63" s="14"/>
      <c r="K63" s="14"/>
      <c r="L63" s="15" t="str">
        <f t="shared" si="2"/>
        <v/>
      </c>
      <c r="M63" s="15" t="str">
        <f>IF(C63="","",COUNTIF('Request Form Fields'!$B$6:$B$66,C63))</f>
        <v/>
      </c>
      <c r="N63" s="14"/>
    </row>
    <row r="64" spans="1:14" x14ac:dyDescent="0.3">
      <c r="A64" s="13" t="str">
        <f t="shared" si="3"/>
        <v/>
      </c>
      <c r="B64" s="14"/>
      <c r="C64" s="14"/>
      <c r="D64" s="14"/>
      <c r="E64" s="14"/>
      <c r="F64" s="14"/>
      <c r="G64" s="14"/>
      <c r="H64" s="14"/>
      <c r="I64" s="14"/>
      <c r="J64" s="14"/>
      <c r="K64" s="14"/>
      <c r="L64" s="15" t="str">
        <f t="shared" si="2"/>
        <v/>
      </c>
      <c r="M64" s="15" t="str">
        <f>IF(C64="","",COUNTIF('Request Form Fields'!$B$6:$B$66,C64))</f>
        <v/>
      </c>
      <c r="N64" s="14"/>
    </row>
    <row r="65" spans="1:14" x14ac:dyDescent="0.3">
      <c r="A65" s="13" t="str">
        <f t="shared" si="3"/>
        <v/>
      </c>
      <c r="B65" s="14"/>
      <c r="C65" s="14"/>
      <c r="D65" s="14"/>
      <c r="E65" s="14"/>
      <c r="F65" s="14"/>
      <c r="G65" s="14"/>
      <c r="H65" s="14"/>
      <c r="I65" s="14"/>
      <c r="J65" s="14"/>
      <c r="K65" s="14"/>
      <c r="L65" s="15" t="str">
        <f t="shared" si="2"/>
        <v/>
      </c>
      <c r="M65" s="15" t="str">
        <f>IF(C65="","",COUNTIF('Request Form Fields'!$B$6:$B$66,C65))</f>
        <v/>
      </c>
      <c r="N65" s="14"/>
    </row>
    <row r="66" spans="1:14" x14ac:dyDescent="0.3">
      <c r="A66" s="13" t="str">
        <f t="shared" si="3"/>
        <v/>
      </c>
      <c r="B66" s="14"/>
      <c r="C66" s="14"/>
      <c r="D66" s="14"/>
      <c r="E66" s="14"/>
      <c r="F66" s="14"/>
      <c r="G66" s="14"/>
      <c r="H66" s="14"/>
      <c r="I66" s="14"/>
      <c r="J66" s="14"/>
      <c r="K66" s="14"/>
      <c r="L66" s="15" t="str">
        <f t="shared" si="2"/>
        <v/>
      </c>
      <c r="M66" s="15" t="str">
        <f>IF(C66="","",COUNTIF('Request Form Fields'!$B$6:$B$66,C66))</f>
        <v/>
      </c>
      <c r="N66" s="14"/>
    </row>
  </sheetData>
  <mergeCells count="2">
    <mergeCell ref="B1:N1"/>
    <mergeCell ref="B2:N2"/>
  </mergeCells>
  <dataValidations count="1">
    <dataValidation type="list" allowBlank="1" errorTitle="Pick from the list" error="Choose a value from the dropdown, or add it to the list first." sqref="E7:E66">
      <formula1>Requesters</formula1>
    </dataValidation>
  </dataValidations>
  <pageMargins left="0.75" right="0.75" top="1" bottom="1" header="0.5" footer="0.5"/>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24638"/>
  </sheetPr>
  <dimension ref="A1:L66"/>
  <sheetViews>
    <sheetView showGridLines="0" zoomScale="90" workbookViewId="0">
      <pane xSplit="2" ySplit="5" topLeftCell="C6" activePane="bottomRight" state="frozen"/>
      <selection pane="topRight"/>
      <selection pane="bottomLeft"/>
      <selection pane="bottomRight"/>
    </sheetView>
  </sheetViews>
  <sheetFormatPr defaultRowHeight="14.4" x14ac:dyDescent="0.3"/>
  <cols>
    <col min="1" max="1" width="11" customWidth="1"/>
    <col min="2" max="2" width="30" customWidth="1"/>
    <col min="3" max="3" width="8" customWidth="1"/>
    <col min="4" max="4" width="30" customWidth="1"/>
    <col min="5" max="5" width="26" customWidth="1"/>
    <col min="6" max="6" width="24" customWidth="1"/>
    <col min="7" max="7" width="11" customWidth="1"/>
    <col min="8" max="8" width="36" customWidth="1"/>
    <col min="9" max="9" width="34" customWidth="1"/>
    <col min="10" max="10" width="18" customWidth="1"/>
    <col min="11" max="11" width="34" customWidth="1"/>
    <col min="12" max="12" width="28" customWidth="1"/>
  </cols>
  <sheetData>
    <row r="1" spans="1:12" ht="43.95" customHeight="1" x14ac:dyDescent="0.3">
      <c r="B1" s="30" t="s">
        <v>14</v>
      </c>
      <c r="C1" s="31"/>
      <c r="D1" s="31"/>
      <c r="E1" s="31"/>
      <c r="F1" s="31"/>
      <c r="G1" s="31"/>
      <c r="H1" s="31"/>
      <c r="I1" s="31"/>
      <c r="J1" s="31"/>
      <c r="K1" s="31"/>
      <c r="L1" s="31"/>
    </row>
    <row r="2" spans="1:12" ht="22.05" customHeight="1" x14ac:dyDescent="0.3">
      <c r="B2" s="34" t="s">
        <v>73</v>
      </c>
      <c r="C2" s="31"/>
      <c r="D2" s="31"/>
      <c r="E2" s="31"/>
      <c r="F2" s="31"/>
      <c r="G2" s="31"/>
      <c r="H2" s="31"/>
      <c r="I2" s="31"/>
      <c r="J2" s="31"/>
      <c r="K2" s="31"/>
      <c r="L2" s="31"/>
    </row>
    <row r="4" spans="1:12" x14ac:dyDescent="0.3">
      <c r="A4" s="9" t="s">
        <v>74</v>
      </c>
    </row>
    <row r="5" spans="1:12" ht="48" customHeight="1" x14ac:dyDescent="0.3">
      <c r="A5" s="10" t="s">
        <v>75</v>
      </c>
      <c r="B5" s="10" t="s">
        <v>50</v>
      </c>
      <c r="C5" s="10" t="s">
        <v>76</v>
      </c>
      <c r="D5" s="10" t="s">
        <v>77</v>
      </c>
      <c r="E5" s="10" t="s">
        <v>78</v>
      </c>
      <c r="F5" s="10" t="s">
        <v>79</v>
      </c>
      <c r="G5" s="10" t="s">
        <v>80</v>
      </c>
      <c r="H5" s="10" t="s">
        <v>81</v>
      </c>
      <c r="I5" s="10" t="s">
        <v>82</v>
      </c>
      <c r="J5" s="10" t="s">
        <v>83</v>
      </c>
      <c r="K5" s="10" t="s">
        <v>84</v>
      </c>
      <c r="L5" s="10" t="s">
        <v>61</v>
      </c>
    </row>
    <row r="6" spans="1:12" ht="26.4" x14ac:dyDescent="0.3">
      <c r="A6" s="11" t="s">
        <v>85</v>
      </c>
      <c r="B6" s="11" t="s">
        <v>64</v>
      </c>
      <c r="C6" s="11">
        <v>1</v>
      </c>
      <c r="D6" s="11" t="s">
        <v>86</v>
      </c>
      <c r="E6" s="11" t="s">
        <v>87</v>
      </c>
      <c r="F6" s="11" t="s">
        <v>88</v>
      </c>
      <c r="G6" s="11" t="s">
        <v>89</v>
      </c>
      <c r="H6" s="11" t="s">
        <v>90</v>
      </c>
      <c r="I6" s="11" t="s">
        <v>91</v>
      </c>
      <c r="J6" s="11" t="s">
        <v>92</v>
      </c>
      <c r="K6" s="11" t="str">
        <f t="shared" ref="K6:K37" si="0">IF(F6="","",IFERROR(INDEX(JiraField,MATCH(F6,FieldType,0)),"Ejada to review"))</f>
        <v>Select List (single choice)</v>
      </c>
      <c r="L6" s="11" t="s">
        <v>93</v>
      </c>
    </row>
    <row r="7" spans="1:12" x14ac:dyDescent="0.3">
      <c r="A7" s="13" t="str">
        <f t="shared" ref="A7:A38" si="1">IF(D7="","","FLD-"&amp;TEXT(ROW()-5,"000"))</f>
        <v/>
      </c>
      <c r="B7" s="14"/>
      <c r="C7" s="14"/>
      <c r="D7" s="14"/>
      <c r="E7" s="14"/>
      <c r="F7" s="14"/>
      <c r="G7" s="14"/>
      <c r="H7" s="14"/>
      <c r="I7" s="14"/>
      <c r="J7" s="14"/>
      <c r="K7" s="13" t="str">
        <f t="shared" si="0"/>
        <v/>
      </c>
      <c r="L7" s="14"/>
    </row>
    <row r="8" spans="1:12" x14ac:dyDescent="0.3">
      <c r="A8" s="13" t="str">
        <f t="shared" si="1"/>
        <v/>
      </c>
      <c r="B8" s="14"/>
      <c r="C8" s="14"/>
      <c r="D8" s="14"/>
      <c r="E8" s="14"/>
      <c r="F8" s="14"/>
      <c r="G8" s="14"/>
      <c r="H8" s="14"/>
      <c r="I8" s="14"/>
      <c r="J8" s="14"/>
      <c r="K8" s="13" t="str">
        <f t="shared" si="0"/>
        <v/>
      </c>
      <c r="L8" s="14"/>
    </row>
    <row r="9" spans="1:12" x14ac:dyDescent="0.3">
      <c r="A9" s="13" t="str">
        <f t="shared" si="1"/>
        <v/>
      </c>
      <c r="B9" s="14"/>
      <c r="C9" s="14"/>
      <c r="D9" s="14"/>
      <c r="E9" s="14"/>
      <c r="F9" s="14"/>
      <c r="G9" s="14"/>
      <c r="H9" s="14"/>
      <c r="I9" s="14"/>
      <c r="J9" s="14"/>
      <c r="K9" s="13" t="str">
        <f t="shared" si="0"/>
        <v/>
      </c>
      <c r="L9" s="14"/>
    </row>
    <row r="10" spans="1:12" x14ac:dyDescent="0.3">
      <c r="A10" s="13" t="str">
        <f t="shared" si="1"/>
        <v/>
      </c>
      <c r="B10" s="14"/>
      <c r="C10" s="14"/>
      <c r="D10" s="14"/>
      <c r="E10" s="14"/>
      <c r="F10" s="14"/>
      <c r="G10" s="14"/>
      <c r="H10" s="14"/>
      <c r="I10" s="14"/>
      <c r="J10" s="14"/>
      <c r="K10" s="13" t="str">
        <f t="shared" si="0"/>
        <v/>
      </c>
      <c r="L10" s="14"/>
    </row>
    <row r="11" spans="1:12" x14ac:dyDescent="0.3">
      <c r="A11" s="13" t="str">
        <f t="shared" si="1"/>
        <v/>
      </c>
      <c r="B11" s="14"/>
      <c r="C11" s="14"/>
      <c r="D11" s="14"/>
      <c r="E11" s="14"/>
      <c r="F11" s="14"/>
      <c r="G11" s="14"/>
      <c r="H11" s="14"/>
      <c r="I11" s="14"/>
      <c r="J11" s="14"/>
      <c r="K11" s="13" t="str">
        <f t="shared" si="0"/>
        <v/>
      </c>
      <c r="L11" s="14"/>
    </row>
    <row r="12" spans="1:12" x14ac:dyDescent="0.3">
      <c r="A12" s="13" t="str">
        <f t="shared" si="1"/>
        <v/>
      </c>
      <c r="B12" s="14"/>
      <c r="C12" s="14"/>
      <c r="D12" s="14"/>
      <c r="E12" s="14"/>
      <c r="F12" s="14"/>
      <c r="G12" s="14"/>
      <c r="H12" s="14"/>
      <c r="I12" s="14"/>
      <c r="J12" s="14"/>
      <c r="K12" s="13" t="str">
        <f t="shared" si="0"/>
        <v/>
      </c>
      <c r="L12" s="14"/>
    </row>
    <row r="13" spans="1:12" x14ac:dyDescent="0.3">
      <c r="A13" s="13" t="str">
        <f t="shared" si="1"/>
        <v/>
      </c>
      <c r="B13" s="14"/>
      <c r="C13" s="14"/>
      <c r="D13" s="14"/>
      <c r="E13" s="14"/>
      <c r="F13" s="14"/>
      <c r="G13" s="14"/>
      <c r="H13" s="14"/>
      <c r="I13" s="14"/>
      <c r="J13" s="14"/>
      <c r="K13" s="13" t="str">
        <f t="shared" si="0"/>
        <v/>
      </c>
      <c r="L13" s="14"/>
    </row>
    <row r="14" spans="1:12" x14ac:dyDescent="0.3">
      <c r="A14" s="13" t="str">
        <f t="shared" si="1"/>
        <v/>
      </c>
      <c r="B14" s="14"/>
      <c r="C14" s="14"/>
      <c r="D14" s="14"/>
      <c r="E14" s="14"/>
      <c r="F14" s="14"/>
      <c r="G14" s="14"/>
      <c r="H14" s="14"/>
      <c r="I14" s="14"/>
      <c r="J14" s="14"/>
      <c r="K14" s="13" t="str">
        <f t="shared" si="0"/>
        <v/>
      </c>
      <c r="L14" s="14"/>
    </row>
    <row r="15" spans="1:12" x14ac:dyDescent="0.3">
      <c r="A15" s="13" t="str">
        <f t="shared" si="1"/>
        <v/>
      </c>
      <c r="B15" s="14"/>
      <c r="C15" s="14"/>
      <c r="D15" s="14"/>
      <c r="E15" s="14"/>
      <c r="F15" s="14"/>
      <c r="G15" s="14"/>
      <c r="H15" s="14"/>
      <c r="I15" s="14"/>
      <c r="J15" s="14"/>
      <c r="K15" s="13" t="str">
        <f t="shared" si="0"/>
        <v/>
      </c>
      <c r="L15" s="14"/>
    </row>
    <row r="16" spans="1:12" x14ac:dyDescent="0.3">
      <c r="A16" s="13" t="str">
        <f t="shared" si="1"/>
        <v/>
      </c>
      <c r="B16" s="14"/>
      <c r="C16" s="14"/>
      <c r="D16" s="14"/>
      <c r="E16" s="14"/>
      <c r="F16" s="14"/>
      <c r="G16" s="14"/>
      <c r="H16" s="14"/>
      <c r="I16" s="14"/>
      <c r="J16" s="14"/>
      <c r="K16" s="13" t="str">
        <f t="shared" si="0"/>
        <v/>
      </c>
      <c r="L16" s="14"/>
    </row>
    <row r="17" spans="1:12" x14ac:dyDescent="0.3">
      <c r="A17" s="13" t="str">
        <f t="shared" si="1"/>
        <v/>
      </c>
      <c r="B17" s="14"/>
      <c r="C17" s="14"/>
      <c r="D17" s="14"/>
      <c r="E17" s="14"/>
      <c r="F17" s="14"/>
      <c r="G17" s="14"/>
      <c r="H17" s="14"/>
      <c r="I17" s="14"/>
      <c r="J17" s="14"/>
      <c r="K17" s="13" t="str">
        <f t="shared" si="0"/>
        <v/>
      </c>
      <c r="L17" s="14"/>
    </row>
    <row r="18" spans="1:12" x14ac:dyDescent="0.3">
      <c r="A18" s="13" t="str">
        <f t="shared" si="1"/>
        <v/>
      </c>
      <c r="B18" s="14"/>
      <c r="C18" s="14"/>
      <c r="D18" s="14"/>
      <c r="E18" s="14"/>
      <c r="F18" s="14"/>
      <c r="G18" s="14"/>
      <c r="H18" s="14"/>
      <c r="I18" s="14"/>
      <c r="J18" s="14"/>
      <c r="K18" s="13" t="str">
        <f t="shared" si="0"/>
        <v/>
      </c>
      <c r="L18" s="14"/>
    </row>
    <row r="19" spans="1:12" x14ac:dyDescent="0.3">
      <c r="A19" s="13" t="str">
        <f t="shared" si="1"/>
        <v/>
      </c>
      <c r="B19" s="14"/>
      <c r="C19" s="14"/>
      <c r="D19" s="14"/>
      <c r="E19" s="14"/>
      <c r="F19" s="14"/>
      <c r="G19" s="14"/>
      <c r="H19" s="14"/>
      <c r="I19" s="14"/>
      <c r="J19" s="14"/>
      <c r="K19" s="13" t="str">
        <f t="shared" si="0"/>
        <v/>
      </c>
      <c r="L19" s="14"/>
    </row>
    <row r="20" spans="1:12" x14ac:dyDescent="0.3">
      <c r="A20" s="13" t="str">
        <f t="shared" si="1"/>
        <v/>
      </c>
      <c r="B20" s="14"/>
      <c r="C20" s="14"/>
      <c r="D20" s="14"/>
      <c r="E20" s="14"/>
      <c r="F20" s="14"/>
      <c r="G20" s="14"/>
      <c r="H20" s="14"/>
      <c r="I20" s="14"/>
      <c r="J20" s="14"/>
      <c r="K20" s="13" t="str">
        <f t="shared" si="0"/>
        <v/>
      </c>
      <c r="L20" s="14"/>
    </row>
    <row r="21" spans="1:12" x14ac:dyDescent="0.3">
      <c r="A21" s="13" t="str">
        <f t="shared" si="1"/>
        <v/>
      </c>
      <c r="B21" s="14"/>
      <c r="C21" s="14"/>
      <c r="D21" s="14"/>
      <c r="E21" s="14"/>
      <c r="F21" s="14"/>
      <c r="G21" s="14"/>
      <c r="H21" s="14"/>
      <c r="I21" s="14"/>
      <c r="J21" s="14"/>
      <c r="K21" s="13" t="str">
        <f t="shared" si="0"/>
        <v/>
      </c>
      <c r="L21" s="14"/>
    </row>
    <row r="22" spans="1:12" x14ac:dyDescent="0.3">
      <c r="A22" s="13" t="str">
        <f t="shared" si="1"/>
        <v/>
      </c>
      <c r="B22" s="14"/>
      <c r="C22" s="14"/>
      <c r="D22" s="14"/>
      <c r="E22" s="14"/>
      <c r="F22" s="14"/>
      <c r="G22" s="14"/>
      <c r="H22" s="14"/>
      <c r="I22" s="14"/>
      <c r="J22" s="14"/>
      <c r="K22" s="13" t="str">
        <f t="shared" si="0"/>
        <v/>
      </c>
      <c r="L22" s="14"/>
    </row>
    <row r="23" spans="1:12" x14ac:dyDescent="0.3">
      <c r="A23" s="13" t="str">
        <f t="shared" si="1"/>
        <v/>
      </c>
      <c r="B23" s="14"/>
      <c r="C23" s="14"/>
      <c r="D23" s="14"/>
      <c r="E23" s="14"/>
      <c r="F23" s="14"/>
      <c r="G23" s="14"/>
      <c r="H23" s="14"/>
      <c r="I23" s="14"/>
      <c r="J23" s="14"/>
      <c r="K23" s="13" t="str">
        <f t="shared" si="0"/>
        <v/>
      </c>
      <c r="L23" s="14"/>
    </row>
    <row r="24" spans="1:12" x14ac:dyDescent="0.3">
      <c r="A24" s="13" t="str">
        <f t="shared" si="1"/>
        <v/>
      </c>
      <c r="B24" s="14"/>
      <c r="C24" s="14"/>
      <c r="D24" s="14"/>
      <c r="E24" s="14"/>
      <c r="F24" s="14"/>
      <c r="G24" s="14"/>
      <c r="H24" s="14"/>
      <c r="I24" s="14"/>
      <c r="J24" s="14"/>
      <c r="K24" s="13" t="str">
        <f t="shared" si="0"/>
        <v/>
      </c>
      <c r="L24" s="14"/>
    </row>
    <row r="25" spans="1:12" x14ac:dyDescent="0.3">
      <c r="A25" s="13" t="str">
        <f t="shared" si="1"/>
        <v/>
      </c>
      <c r="B25" s="14"/>
      <c r="C25" s="14"/>
      <c r="D25" s="14"/>
      <c r="E25" s="14"/>
      <c r="F25" s="14"/>
      <c r="G25" s="14"/>
      <c r="H25" s="14"/>
      <c r="I25" s="14"/>
      <c r="J25" s="14"/>
      <c r="K25" s="13" t="str">
        <f t="shared" si="0"/>
        <v/>
      </c>
      <c r="L25" s="14"/>
    </row>
    <row r="26" spans="1:12" x14ac:dyDescent="0.3">
      <c r="A26" s="13" t="str">
        <f t="shared" si="1"/>
        <v/>
      </c>
      <c r="B26" s="14"/>
      <c r="C26" s="14"/>
      <c r="D26" s="14"/>
      <c r="E26" s="14"/>
      <c r="F26" s="14"/>
      <c r="G26" s="14"/>
      <c r="H26" s="14"/>
      <c r="I26" s="14"/>
      <c r="J26" s="14"/>
      <c r="K26" s="13" t="str">
        <f t="shared" si="0"/>
        <v/>
      </c>
      <c r="L26" s="14"/>
    </row>
    <row r="27" spans="1:12" x14ac:dyDescent="0.3">
      <c r="A27" s="13" t="str">
        <f t="shared" si="1"/>
        <v/>
      </c>
      <c r="B27" s="14"/>
      <c r="C27" s="14"/>
      <c r="D27" s="14"/>
      <c r="E27" s="14"/>
      <c r="F27" s="14"/>
      <c r="G27" s="14"/>
      <c r="H27" s="14"/>
      <c r="I27" s="14"/>
      <c r="J27" s="14"/>
      <c r="K27" s="13" t="str">
        <f t="shared" si="0"/>
        <v/>
      </c>
      <c r="L27" s="14"/>
    </row>
    <row r="28" spans="1:12" x14ac:dyDescent="0.3">
      <c r="A28" s="13" t="str">
        <f t="shared" si="1"/>
        <v/>
      </c>
      <c r="B28" s="14"/>
      <c r="C28" s="14"/>
      <c r="D28" s="14"/>
      <c r="E28" s="14"/>
      <c r="F28" s="14"/>
      <c r="G28" s="14"/>
      <c r="H28" s="14"/>
      <c r="I28" s="14"/>
      <c r="J28" s="14"/>
      <c r="K28" s="13" t="str">
        <f t="shared" si="0"/>
        <v/>
      </c>
      <c r="L28" s="14"/>
    </row>
    <row r="29" spans="1:12" x14ac:dyDescent="0.3">
      <c r="A29" s="13" t="str">
        <f t="shared" si="1"/>
        <v/>
      </c>
      <c r="B29" s="14"/>
      <c r="C29" s="14"/>
      <c r="D29" s="14"/>
      <c r="E29" s="14"/>
      <c r="F29" s="14"/>
      <c r="G29" s="14"/>
      <c r="H29" s="14"/>
      <c r="I29" s="14"/>
      <c r="J29" s="14"/>
      <c r="K29" s="13" t="str">
        <f t="shared" si="0"/>
        <v/>
      </c>
      <c r="L29" s="14"/>
    </row>
    <row r="30" spans="1:12" x14ac:dyDescent="0.3">
      <c r="A30" s="13" t="str">
        <f t="shared" si="1"/>
        <v/>
      </c>
      <c r="B30" s="14"/>
      <c r="C30" s="14"/>
      <c r="D30" s="14"/>
      <c r="E30" s="14"/>
      <c r="F30" s="14"/>
      <c r="G30" s="14"/>
      <c r="H30" s="14"/>
      <c r="I30" s="14"/>
      <c r="J30" s="14"/>
      <c r="K30" s="13" t="str">
        <f t="shared" si="0"/>
        <v/>
      </c>
      <c r="L30" s="14"/>
    </row>
    <row r="31" spans="1:12" x14ac:dyDescent="0.3">
      <c r="A31" s="13" t="str">
        <f t="shared" si="1"/>
        <v/>
      </c>
      <c r="B31" s="14"/>
      <c r="C31" s="14"/>
      <c r="D31" s="14"/>
      <c r="E31" s="14"/>
      <c r="F31" s="14"/>
      <c r="G31" s="14"/>
      <c r="H31" s="14"/>
      <c r="I31" s="14"/>
      <c r="J31" s="14"/>
      <c r="K31" s="13" t="str">
        <f t="shared" si="0"/>
        <v/>
      </c>
      <c r="L31" s="14"/>
    </row>
    <row r="32" spans="1:12" x14ac:dyDescent="0.3">
      <c r="A32" s="13" t="str">
        <f t="shared" si="1"/>
        <v/>
      </c>
      <c r="B32" s="14"/>
      <c r="C32" s="14"/>
      <c r="D32" s="14"/>
      <c r="E32" s="14"/>
      <c r="F32" s="14"/>
      <c r="G32" s="14"/>
      <c r="H32" s="14"/>
      <c r="I32" s="14"/>
      <c r="J32" s="14"/>
      <c r="K32" s="13" t="str">
        <f t="shared" si="0"/>
        <v/>
      </c>
      <c r="L32" s="14"/>
    </row>
    <row r="33" spans="1:12" x14ac:dyDescent="0.3">
      <c r="A33" s="13" t="str">
        <f t="shared" si="1"/>
        <v/>
      </c>
      <c r="B33" s="14"/>
      <c r="C33" s="14"/>
      <c r="D33" s="14"/>
      <c r="E33" s="14"/>
      <c r="F33" s="14"/>
      <c r="G33" s="14"/>
      <c r="H33" s="14"/>
      <c r="I33" s="14"/>
      <c r="J33" s="14"/>
      <c r="K33" s="13" t="str">
        <f t="shared" si="0"/>
        <v/>
      </c>
      <c r="L33" s="14"/>
    </row>
    <row r="34" spans="1:12" x14ac:dyDescent="0.3">
      <c r="A34" s="13" t="str">
        <f t="shared" si="1"/>
        <v/>
      </c>
      <c r="B34" s="14"/>
      <c r="C34" s="14"/>
      <c r="D34" s="14"/>
      <c r="E34" s="14"/>
      <c r="F34" s="14"/>
      <c r="G34" s="14"/>
      <c r="H34" s="14"/>
      <c r="I34" s="14"/>
      <c r="J34" s="14"/>
      <c r="K34" s="13" t="str">
        <f t="shared" si="0"/>
        <v/>
      </c>
      <c r="L34" s="14"/>
    </row>
    <row r="35" spans="1:12" x14ac:dyDescent="0.3">
      <c r="A35" s="13" t="str">
        <f t="shared" si="1"/>
        <v/>
      </c>
      <c r="B35" s="14"/>
      <c r="C35" s="14"/>
      <c r="D35" s="14"/>
      <c r="E35" s="14"/>
      <c r="F35" s="14"/>
      <c r="G35" s="14"/>
      <c r="H35" s="14"/>
      <c r="I35" s="14"/>
      <c r="J35" s="14"/>
      <c r="K35" s="13" t="str">
        <f t="shared" si="0"/>
        <v/>
      </c>
      <c r="L35" s="14"/>
    </row>
    <row r="36" spans="1:12" x14ac:dyDescent="0.3">
      <c r="A36" s="13" t="str">
        <f t="shared" si="1"/>
        <v/>
      </c>
      <c r="B36" s="14"/>
      <c r="C36" s="14"/>
      <c r="D36" s="14"/>
      <c r="E36" s="14"/>
      <c r="F36" s="14"/>
      <c r="G36" s="14"/>
      <c r="H36" s="14"/>
      <c r="I36" s="14"/>
      <c r="J36" s="14"/>
      <c r="K36" s="13" t="str">
        <f t="shared" si="0"/>
        <v/>
      </c>
      <c r="L36" s="14"/>
    </row>
    <row r="37" spans="1:12" x14ac:dyDescent="0.3">
      <c r="A37" s="13" t="str">
        <f t="shared" si="1"/>
        <v/>
      </c>
      <c r="B37" s="14"/>
      <c r="C37" s="14"/>
      <c r="D37" s="14"/>
      <c r="E37" s="14"/>
      <c r="F37" s="14"/>
      <c r="G37" s="14"/>
      <c r="H37" s="14"/>
      <c r="I37" s="14"/>
      <c r="J37" s="14"/>
      <c r="K37" s="13" t="str">
        <f t="shared" si="0"/>
        <v/>
      </c>
      <c r="L37" s="14"/>
    </row>
    <row r="38" spans="1:12" x14ac:dyDescent="0.3">
      <c r="A38" s="13" t="str">
        <f t="shared" si="1"/>
        <v/>
      </c>
      <c r="B38" s="14"/>
      <c r="C38" s="14"/>
      <c r="D38" s="14"/>
      <c r="E38" s="14"/>
      <c r="F38" s="14"/>
      <c r="G38" s="14"/>
      <c r="H38" s="14"/>
      <c r="I38" s="14"/>
      <c r="J38" s="14"/>
      <c r="K38" s="13" t="str">
        <f t="shared" ref="K38:K66" si="2">IF(F38="","",IFERROR(INDEX(JiraField,MATCH(F38,FieldType,0)),"Ejada to review"))</f>
        <v/>
      </c>
      <c r="L38" s="14"/>
    </row>
    <row r="39" spans="1:12" x14ac:dyDescent="0.3">
      <c r="A39" s="13" t="str">
        <f t="shared" ref="A39:A66" si="3">IF(D39="","","FLD-"&amp;TEXT(ROW()-5,"000"))</f>
        <v/>
      </c>
      <c r="B39" s="14"/>
      <c r="C39" s="14"/>
      <c r="D39" s="14"/>
      <c r="E39" s="14"/>
      <c r="F39" s="14"/>
      <c r="G39" s="14"/>
      <c r="H39" s="14"/>
      <c r="I39" s="14"/>
      <c r="J39" s="14"/>
      <c r="K39" s="13" t="str">
        <f t="shared" si="2"/>
        <v/>
      </c>
      <c r="L39" s="14"/>
    </row>
    <row r="40" spans="1:12" x14ac:dyDescent="0.3">
      <c r="A40" s="13" t="str">
        <f t="shared" si="3"/>
        <v/>
      </c>
      <c r="B40" s="14"/>
      <c r="C40" s="14"/>
      <c r="D40" s="14"/>
      <c r="E40" s="14"/>
      <c r="F40" s="14"/>
      <c r="G40" s="14"/>
      <c r="H40" s="14"/>
      <c r="I40" s="14"/>
      <c r="J40" s="14"/>
      <c r="K40" s="13" t="str">
        <f t="shared" si="2"/>
        <v/>
      </c>
      <c r="L40" s="14"/>
    </row>
    <row r="41" spans="1:12" x14ac:dyDescent="0.3">
      <c r="A41" s="13" t="str">
        <f t="shared" si="3"/>
        <v/>
      </c>
      <c r="B41" s="14"/>
      <c r="C41" s="14"/>
      <c r="D41" s="14"/>
      <c r="E41" s="14"/>
      <c r="F41" s="14"/>
      <c r="G41" s="14"/>
      <c r="H41" s="14"/>
      <c r="I41" s="14"/>
      <c r="J41" s="14"/>
      <c r="K41" s="13" t="str">
        <f t="shared" si="2"/>
        <v/>
      </c>
      <c r="L41" s="14"/>
    </row>
    <row r="42" spans="1:12" x14ac:dyDescent="0.3">
      <c r="A42" s="13" t="str">
        <f t="shared" si="3"/>
        <v/>
      </c>
      <c r="B42" s="14"/>
      <c r="C42" s="14"/>
      <c r="D42" s="14"/>
      <c r="E42" s="14"/>
      <c r="F42" s="14"/>
      <c r="G42" s="14"/>
      <c r="H42" s="14"/>
      <c r="I42" s="14"/>
      <c r="J42" s="14"/>
      <c r="K42" s="13" t="str">
        <f t="shared" si="2"/>
        <v/>
      </c>
      <c r="L42" s="14"/>
    </row>
    <row r="43" spans="1:12" x14ac:dyDescent="0.3">
      <c r="A43" s="13" t="str">
        <f t="shared" si="3"/>
        <v/>
      </c>
      <c r="B43" s="14"/>
      <c r="C43" s="14"/>
      <c r="D43" s="14"/>
      <c r="E43" s="14"/>
      <c r="F43" s="14"/>
      <c r="G43" s="14"/>
      <c r="H43" s="14"/>
      <c r="I43" s="14"/>
      <c r="J43" s="14"/>
      <c r="K43" s="13" t="str">
        <f t="shared" si="2"/>
        <v/>
      </c>
      <c r="L43" s="14"/>
    </row>
    <row r="44" spans="1:12" x14ac:dyDescent="0.3">
      <c r="A44" s="13" t="str">
        <f t="shared" si="3"/>
        <v/>
      </c>
      <c r="B44" s="14"/>
      <c r="C44" s="14"/>
      <c r="D44" s="14"/>
      <c r="E44" s="14"/>
      <c r="F44" s="14"/>
      <c r="G44" s="14"/>
      <c r="H44" s="14"/>
      <c r="I44" s="14"/>
      <c r="J44" s="14"/>
      <c r="K44" s="13" t="str">
        <f t="shared" si="2"/>
        <v/>
      </c>
      <c r="L44" s="14"/>
    </row>
    <row r="45" spans="1:12" x14ac:dyDescent="0.3">
      <c r="A45" s="13" t="str">
        <f t="shared" si="3"/>
        <v/>
      </c>
      <c r="B45" s="14"/>
      <c r="C45" s="14"/>
      <c r="D45" s="14"/>
      <c r="E45" s="14"/>
      <c r="F45" s="14"/>
      <c r="G45" s="14"/>
      <c r="H45" s="14"/>
      <c r="I45" s="14"/>
      <c r="J45" s="14"/>
      <c r="K45" s="13" t="str">
        <f t="shared" si="2"/>
        <v/>
      </c>
      <c r="L45" s="14"/>
    </row>
    <row r="46" spans="1:12" x14ac:dyDescent="0.3">
      <c r="A46" s="13" t="str">
        <f t="shared" si="3"/>
        <v/>
      </c>
      <c r="B46" s="14"/>
      <c r="C46" s="14"/>
      <c r="D46" s="14"/>
      <c r="E46" s="14"/>
      <c r="F46" s="14"/>
      <c r="G46" s="14"/>
      <c r="H46" s="14"/>
      <c r="I46" s="14"/>
      <c r="J46" s="14"/>
      <c r="K46" s="13" t="str">
        <f t="shared" si="2"/>
        <v/>
      </c>
      <c r="L46" s="14"/>
    </row>
    <row r="47" spans="1:12" x14ac:dyDescent="0.3">
      <c r="A47" s="13" t="str">
        <f t="shared" si="3"/>
        <v/>
      </c>
      <c r="B47" s="14"/>
      <c r="C47" s="14"/>
      <c r="D47" s="14"/>
      <c r="E47" s="14"/>
      <c r="F47" s="14"/>
      <c r="G47" s="14"/>
      <c r="H47" s="14"/>
      <c r="I47" s="14"/>
      <c r="J47" s="14"/>
      <c r="K47" s="13" t="str">
        <f t="shared" si="2"/>
        <v/>
      </c>
      <c r="L47" s="14"/>
    </row>
    <row r="48" spans="1:12" x14ac:dyDescent="0.3">
      <c r="A48" s="13" t="str">
        <f t="shared" si="3"/>
        <v/>
      </c>
      <c r="B48" s="14"/>
      <c r="C48" s="14"/>
      <c r="D48" s="14"/>
      <c r="E48" s="14"/>
      <c r="F48" s="14"/>
      <c r="G48" s="14"/>
      <c r="H48" s="14"/>
      <c r="I48" s="14"/>
      <c r="J48" s="14"/>
      <c r="K48" s="13" t="str">
        <f t="shared" si="2"/>
        <v/>
      </c>
      <c r="L48" s="14"/>
    </row>
    <row r="49" spans="1:12" x14ac:dyDescent="0.3">
      <c r="A49" s="13" t="str">
        <f t="shared" si="3"/>
        <v/>
      </c>
      <c r="B49" s="14"/>
      <c r="C49" s="14"/>
      <c r="D49" s="14"/>
      <c r="E49" s="14"/>
      <c r="F49" s="14"/>
      <c r="G49" s="14"/>
      <c r="H49" s="14"/>
      <c r="I49" s="14"/>
      <c r="J49" s="14"/>
      <c r="K49" s="13" t="str">
        <f t="shared" si="2"/>
        <v/>
      </c>
      <c r="L49" s="14"/>
    </row>
    <row r="50" spans="1:12" x14ac:dyDescent="0.3">
      <c r="A50" s="13" t="str">
        <f t="shared" si="3"/>
        <v/>
      </c>
      <c r="B50" s="14"/>
      <c r="C50" s="14"/>
      <c r="D50" s="14"/>
      <c r="E50" s="14"/>
      <c r="F50" s="14"/>
      <c r="G50" s="14"/>
      <c r="H50" s="14"/>
      <c r="I50" s="14"/>
      <c r="J50" s="14"/>
      <c r="K50" s="13" t="str">
        <f t="shared" si="2"/>
        <v/>
      </c>
      <c r="L50" s="14"/>
    </row>
    <row r="51" spans="1:12" x14ac:dyDescent="0.3">
      <c r="A51" s="13" t="str">
        <f t="shared" si="3"/>
        <v/>
      </c>
      <c r="B51" s="14"/>
      <c r="C51" s="14"/>
      <c r="D51" s="14"/>
      <c r="E51" s="14"/>
      <c r="F51" s="14"/>
      <c r="G51" s="14"/>
      <c r="H51" s="14"/>
      <c r="I51" s="14"/>
      <c r="J51" s="14"/>
      <c r="K51" s="13" t="str">
        <f t="shared" si="2"/>
        <v/>
      </c>
      <c r="L51" s="14"/>
    </row>
    <row r="52" spans="1:12" x14ac:dyDescent="0.3">
      <c r="A52" s="13" t="str">
        <f t="shared" si="3"/>
        <v/>
      </c>
      <c r="B52" s="14"/>
      <c r="C52" s="14"/>
      <c r="D52" s="14"/>
      <c r="E52" s="14"/>
      <c r="F52" s="14"/>
      <c r="G52" s="14"/>
      <c r="H52" s="14"/>
      <c r="I52" s="14"/>
      <c r="J52" s="14"/>
      <c r="K52" s="13" t="str">
        <f t="shared" si="2"/>
        <v/>
      </c>
      <c r="L52" s="14"/>
    </row>
    <row r="53" spans="1:12" x14ac:dyDescent="0.3">
      <c r="A53" s="13" t="str">
        <f t="shared" si="3"/>
        <v/>
      </c>
      <c r="B53" s="14"/>
      <c r="C53" s="14"/>
      <c r="D53" s="14"/>
      <c r="E53" s="14"/>
      <c r="F53" s="14"/>
      <c r="G53" s="14"/>
      <c r="H53" s="14"/>
      <c r="I53" s="14"/>
      <c r="J53" s="14"/>
      <c r="K53" s="13" t="str">
        <f t="shared" si="2"/>
        <v/>
      </c>
      <c r="L53" s="14"/>
    </row>
    <row r="54" spans="1:12" x14ac:dyDescent="0.3">
      <c r="A54" s="13" t="str">
        <f t="shared" si="3"/>
        <v/>
      </c>
      <c r="B54" s="14"/>
      <c r="C54" s="14"/>
      <c r="D54" s="14"/>
      <c r="E54" s="14"/>
      <c r="F54" s="14"/>
      <c r="G54" s="14"/>
      <c r="H54" s="14"/>
      <c r="I54" s="14"/>
      <c r="J54" s="14"/>
      <c r="K54" s="13" t="str">
        <f t="shared" si="2"/>
        <v/>
      </c>
      <c r="L54" s="14"/>
    </row>
    <row r="55" spans="1:12" x14ac:dyDescent="0.3">
      <c r="A55" s="13" t="str">
        <f t="shared" si="3"/>
        <v/>
      </c>
      <c r="B55" s="14"/>
      <c r="C55" s="14"/>
      <c r="D55" s="14"/>
      <c r="E55" s="14"/>
      <c r="F55" s="14"/>
      <c r="G55" s="14"/>
      <c r="H55" s="14"/>
      <c r="I55" s="14"/>
      <c r="J55" s="14"/>
      <c r="K55" s="13" t="str">
        <f t="shared" si="2"/>
        <v/>
      </c>
      <c r="L55" s="14"/>
    </row>
    <row r="56" spans="1:12" x14ac:dyDescent="0.3">
      <c r="A56" s="13" t="str">
        <f t="shared" si="3"/>
        <v/>
      </c>
      <c r="B56" s="14"/>
      <c r="C56" s="14"/>
      <c r="D56" s="14"/>
      <c r="E56" s="14"/>
      <c r="F56" s="14"/>
      <c r="G56" s="14"/>
      <c r="H56" s="14"/>
      <c r="I56" s="14"/>
      <c r="J56" s="14"/>
      <c r="K56" s="13" t="str">
        <f t="shared" si="2"/>
        <v/>
      </c>
      <c r="L56" s="14"/>
    </row>
    <row r="57" spans="1:12" x14ac:dyDescent="0.3">
      <c r="A57" s="13" t="str">
        <f t="shared" si="3"/>
        <v/>
      </c>
      <c r="B57" s="14"/>
      <c r="C57" s="14"/>
      <c r="D57" s="14"/>
      <c r="E57" s="14"/>
      <c r="F57" s="14"/>
      <c r="G57" s="14"/>
      <c r="H57" s="14"/>
      <c r="I57" s="14"/>
      <c r="J57" s="14"/>
      <c r="K57" s="13" t="str">
        <f t="shared" si="2"/>
        <v/>
      </c>
      <c r="L57" s="14"/>
    </row>
    <row r="58" spans="1:12" x14ac:dyDescent="0.3">
      <c r="A58" s="13" t="str">
        <f t="shared" si="3"/>
        <v/>
      </c>
      <c r="B58" s="14"/>
      <c r="C58" s="14"/>
      <c r="D58" s="14"/>
      <c r="E58" s="14"/>
      <c r="F58" s="14"/>
      <c r="G58" s="14"/>
      <c r="H58" s="14"/>
      <c r="I58" s="14"/>
      <c r="J58" s="14"/>
      <c r="K58" s="13" t="str">
        <f t="shared" si="2"/>
        <v/>
      </c>
      <c r="L58" s="14"/>
    </row>
    <row r="59" spans="1:12" x14ac:dyDescent="0.3">
      <c r="A59" s="13" t="str">
        <f t="shared" si="3"/>
        <v/>
      </c>
      <c r="B59" s="14"/>
      <c r="C59" s="14"/>
      <c r="D59" s="14"/>
      <c r="E59" s="14"/>
      <c r="F59" s="14"/>
      <c r="G59" s="14"/>
      <c r="H59" s="14"/>
      <c r="I59" s="14"/>
      <c r="J59" s="14"/>
      <c r="K59" s="13" t="str">
        <f t="shared" si="2"/>
        <v/>
      </c>
      <c r="L59" s="14"/>
    </row>
    <row r="60" spans="1:12" x14ac:dyDescent="0.3">
      <c r="A60" s="13" t="str">
        <f t="shared" si="3"/>
        <v/>
      </c>
      <c r="B60" s="14"/>
      <c r="C60" s="14"/>
      <c r="D60" s="14"/>
      <c r="E60" s="14"/>
      <c r="F60" s="14"/>
      <c r="G60" s="14"/>
      <c r="H60" s="14"/>
      <c r="I60" s="14"/>
      <c r="J60" s="14"/>
      <c r="K60" s="13" t="str">
        <f t="shared" si="2"/>
        <v/>
      </c>
      <c r="L60" s="14"/>
    </row>
    <row r="61" spans="1:12" x14ac:dyDescent="0.3">
      <c r="A61" s="13" t="str">
        <f t="shared" si="3"/>
        <v/>
      </c>
      <c r="B61" s="14"/>
      <c r="C61" s="14"/>
      <c r="D61" s="14"/>
      <c r="E61" s="14"/>
      <c r="F61" s="14"/>
      <c r="G61" s="14"/>
      <c r="H61" s="14"/>
      <c r="I61" s="14"/>
      <c r="J61" s="14"/>
      <c r="K61" s="13" t="str">
        <f t="shared" si="2"/>
        <v/>
      </c>
      <c r="L61" s="14"/>
    </row>
    <row r="62" spans="1:12" x14ac:dyDescent="0.3">
      <c r="A62" s="13" t="str">
        <f t="shared" si="3"/>
        <v/>
      </c>
      <c r="B62" s="14"/>
      <c r="C62" s="14"/>
      <c r="D62" s="14"/>
      <c r="E62" s="14"/>
      <c r="F62" s="14"/>
      <c r="G62" s="14"/>
      <c r="H62" s="14"/>
      <c r="I62" s="14"/>
      <c r="J62" s="14"/>
      <c r="K62" s="13" t="str">
        <f t="shared" si="2"/>
        <v/>
      </c>
      <c r="L62" s="14"/>
    </row>
    <row r="63" spans="1:12" x14ac:dyDescent="0.3">
      <c r="A63" s="13" t="str">
        <f t="shared" si="3"/>
        <v/>
      </c>
      <c r="B63" s="14"/>
      <c r="C63" s="14"/>
      <c r="D63" s="14"/>
      <c r="E63" s="14"/>
      <c r="F63" s="14"/>
      <c r="G63" s="14"/>
      <c r="H63" s="14"/>
      <c r="I63" s="14"/>
      <c r="J63" s="14"/>
      <c r="K63" s="13" t="str">
        <f t="shared" si="2"/>
        <v/>
      </c>
      <c r="L63" s="14"/>
    </row>
    <row r="64" spans="1:12" x14ac:dyDescent="0.3">
      <c r="A64" s="13" t="str">
        <f t="shared" si="3"/>
        <v/>
      </c>
      <c r="B64" s="14"/>
      <c r="C64" s="14"/>
      <c r="D64" s="14"/>
      <c r="E64" s="14"/>
      <c r="F64" s="14"/>
      <c r="G64" s="14"/>
      <c r="H64" s="14"/>
      <c r="I64" s="14"/>
      <c r="J64" s="14"/>
      <c r="K64" s="13" t="str">
        <f t="shared" si="2"/>
        <v/>
      </c>
      <c r="L64" s="14"/>
    </row>
    <row r="65" spans="1:12" x14ac:dyDescent="0.3">
      <c r="A65" s="13" t="str">
        <f t="shared" si="3"/>
        <v/>
      </c>
      <c r="B65" s="14"/>
      <c r="C65" s="14"/>
      <c r="D65" s="14"/>
      <c r="E65" s="14"/>
      <c r="F65" s="14"/>
      <c r="G65" s="14"/>
      <c r="H65" s="14"/>
      <c r="I65" s="14"/>
      <c r="J65" s="14"/>
      <c r="K65" s="13" t="str">
        <f t="shared" si="2"/>
        <v/>
      </c>
      <c r="L65" s="14"/>
    </row>
    <row r="66" spans="1:12" x14ac:dyDescent="0.3">
      <c r="A66" s="13" t="str">
        <f t="shared" si="3"/>
        <v/>
      </c>
      <c r="B66" s="14"/>
      <c r="C66" s="14"/>
      <c r="D66" s="14"/>
      <c r="E66" s="14"/>
      <c r="F66" s="14"/>
      <c r="G66" s="14"/>
      <c r="H66" s="14"/>
      <c r="I66" s="14"/>
      <c r="J66" s="14"/>
      <c r="K66" s="13" t="str">
        <f t="shared" si="2"/>
        <v/>
      </c>
      <c r="L66" s="14"/>
    </row>
  </sheetData>
  <mergeCells count="2">
    <mergeCell ref="B2:L2"/>
    <mergeCell ref="B1:L1"/>
  </mergeCells>
  <dataValidations count="5">
    <dataValidation type="list" allowBlank="1" showErrorMessage="1" errorTitle="Unknown service" error="Pick a service from the 'Service Catalog' sheet." sqref="B7:B66">
      <formula1>ServiceNames</formula1>
    </dataValidation>
    <dataValidation type="whole" operator="greaterThan" allowBlank="1" showErrorMessage="1" error="Enter a number greater than 0." sqref="C7:C66">
      <formula1>0</formula1>
    </dataValidation>
    <dataValidation type="list" allowBlank="1" showErrorMessage="1" errorTitle="Pick from the list" error="Choose a value from the dropdown, or add it to the list first." sqref="F7:F66">
      <formula1>FieldType</formula1>
    </dataValidation>
    <dataValidation type="list" allowBlank="1" showErrorMessage="1" errorTitle="Pick from the list" error="Choose a value from the dropdown, or add it to the list first." sqref="G7:G66">
      <formula1>YesNo</formula1>
    </dataValidation>
    <dataValidation type="list" allowBlank="1" showErrorMessage="1" errorTitle="Pick from the list" error="Choose a value from the dropdown, or add it to the list first." sqref="J7:J66">
      <formula1>FilledBy</formula1>
    </dataValidation>
  </dataValidations>
  <pageMargins left="0.75" right="0.75" top="1" bottom="1" header="0.5" footer="0.5"/>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36B78E"/>
  </sheetPr>
  <dimension ref="A1:L66"/>
  <sheetViews>
    <sheetView showGridLines="0" zoomScale="90" workbookViewId="0">
      <pane xSplit="2" ySplit="5" topLeftCell="C6" activePane="bottomRight" state="frozen"/>
      <selection pane="topRight"/>
      <selection pane="bottomLeft"/>
      <selection pane="bottomRight"/>
    </sheetView>
  </sheetViews>
  <sheetFormatPr defaultRowHeight="14.4" x14ac:dyDescent="0.3"/>
  <cols>
    <col min="1" max="1" width="14" customWidth="1"/>
    <col min="2" max="2" width="20" customWidth="1"/>
    <col min="3" max="3" width="30" customWidth="1"/>
    <col min="4" max="4" width="45" customWidth="1"/>
    <col min="5" max="5" width="35" customWidth="1"/>
    <col min="6" max="6" width="16" customWidth="1"/>
    <col min="7" max="7" width="22" customWidth="1"/>
    <col min="8" max="8" width="20" customWidth="1"/>
    <col min="9" max="9" width="40" customWidth="1"/>
    <col min="10" max="11" width="14" customWidth="1"/>
    <col min="12" max="12" width="30" customWidth="1"/>
  </cols>
  <sheetData>
    <row r="1" spans="1:12" ht="43.95" customHeight="1" x14ac:dyDescent="0.3">
      <c r="B1" s="30" t="s">
        <v>16</v>
      </c>
      <c r="C1" s="31"/>
      <c r="D1" s="31"/>
      <c r="E1" s="31"/>
      <c r="F1" s="31"/>
      <c r="G1" s="31"/>
      <c r="H1" s="31"/>
      <c r="I1" s="31"/>
      <c r="J1" s="31"/>
      <c r="K1" s="31"/>
      <c r="L1" s="31"/>
    </row>
    <row r="2" spans="1:12" ht="22.05" customHeight="1" x14ac:dyDescent="0.3">
      <c r="B2" s="34" t="s">
        <v>94</v>
      </c>
      <c r="C2" s="31"/>
      <c r="D2" s="31"/>
      <c r="E2" s="31"/>
      <c r="F2" s="31"/>
      <c r="G2" s="31"/>
      <c r="H2" s="31"/>
      <c r="I2" s="31"/>
      <c r="J2" s="31"/>
      <c r="K2" s="31"/>
      <c r="L2" s="31"/>
    </row>
    <row r="4" spans="1:12" x14ac:dyDescent="0.3">
      <c r="A4" s="9" t="s">
        <v>95</v>
      </c>
    </row>
    <row r="5" spans="1:12" ht="34.049999999999997" customHeight="1" x14ac:dyDescent="0.3">
      <c r="A5" s="10" t="s">
        <v>96</v>
      </c>
      <c r="B5" s="10" t="s">
        <v>97</v>
      </c>
      <c r="C5" s="10" t="s">
        <v>98</v>
      </c>
      <c r="D5" s="10" t="s">
        <v>99</v>
      </c>
      <c r="E5" s="10" t="s">
        <v>100</v>
      </c>
      <c r="F5" s="10" t="s">
        <v>101</v>
      </c>
      <c r="G5" s="10" t="s">
        <v>102</v>
      </c>
      <c r="H5" s="10" t="s">
        <v>103</v>
      </c>
      <c r="I5" s="10" t="s">
        <v>104</v>
      </c>
      <c r="J5" s="10" t="s">
        <v>105</v>
      </c>
      <c r="K5" s="10" t="s">
        <v>106</v>
      </c>
      <c r="L5" s="10" t="s">
        <v>61</v>
      </c>
    </row>
    <row r="6" spans="1:12" ht="39.6" x14ac:dyDescent="0.3">
      <c r="A6" s="11" t="s">
        <v>107</v>
      </c>
      <c r="B6" s="11" t="s">
        <v>108</v>
      </c>
      <c r="C6" s="11" t="s">
        <v>109</v>
      </c>
      <c r="D6" s="11" t="s">
        <v>110</v>
      </c>
      <c r="E6" s="11" t="s">
        <v>111</v>
      </c>
      <c r="F6" s="11" t="s">
        <v>112</v>
      </c>
      <c r="G6" s="11" t="s">
        <v>113</v>
      </c>
      <c r="H6" s="11" t="s">
        <v>114</v>
      </c>
      <c r="I6" s="11" t="s">
        <v>115</v>
      </c>
      <c r="J6" s="16" t="s">
        <v>116</v>
      </c>
      <c r="K6" s="11" t="s">
        <v>117</v>
      </c>
      <c r="L6" s="11" t="s">
        <v>118</v>
      </c>
    </row>
    <row r="7" spans="1:12" ht="171.6" x14ac:dyDescent="0.3">
      <c r="A7" s="13" t="str">
        <f t="shared" ref="A7:A38" si="0">IF(C7="","","BR-"&amp;TEXT(ROW()-5,"000"))</f>
        <v>BR-002</v>
      </c>
      <c r="B7" s="14" t="s">
        <v>119</v>
      </c>
      <c r="C7" s="14" t="s">
        <v>120</v>
      </c>
      <c r="D7" s="14" t="s">
        <v>121</v>
      </c>
      <c r="E7" s="14"/>
      <c r="F7" s="14"/>
      <c r="G7" s="14"/>
      <c r="H7" s="14"/>
      <c r="I7" s="14" t="s">
        <v>122</v>
      </c>
      <c r="J7" s="17"/>
      <c r="K7" s="14" t="s">
        <v>123</v>
      </c>
      <c r="L7" s="14" t="s">
        <v>124</v>
      </c>
    </row>
    <row r="8" spans="1:12" ht="79.2" x14ac:dyDescent="0.3">
      <c r="A8" s="13" t="str">
        <f t="shared" si="0"/>
        <v>BR-003</v>
      </c>
      <c r="B8" s="14" t="s">
        <v>119</v>
      </c>
      <c r="C8" s="14" t="s">
        <v>125</v>
      </c>
      <c r="D8" s="14" t="s">
        <v>126</v>
      </c>
      <c r="E8" s="14"/>
      <c r="F8" s="14"/>
      <c r="G8" s="14"/>
      <c r="H8" s="14"/>
      <c r="I8" s="14" t="s">
        <v>127</v>
      </c>
      <c r="J8" s="17"/>
      <c r="K8" s="14" t="s">
        <v>123</v>
      </c>
      <c r="L8" s="14" t="s">
        <v>128</v>
      </c>
    </row>
    <row r="9" spans="1:12" ht="92.4" x14ac:dyDescent="0.3">
      <c r="A9" s="13" t="str">
        <f t="shared" si="0"/>
        <v>BR-004</v>
      </c>
      <c r="B9" s="14" t="s">
        <v>119</v>
      </c>
      <c r="C9" s="14" t="s">
        <v>129</v>
      </c>
      <c r="D9" s="14" t="s">
        <v>130</v>
      </c>
      <c r="E9" s="14"/>
      <c r="F9" s="14"/>
      <c r="G9" s="14"/>
      <c r="H9" s="14"/>
      <c r="I9" s="14" t="s">
        <v>131</v>
      </c>
      <c r="J9" s="17"/>
      <c r="K9" s="14" t="s">
        <v>123</v>
      </c>
      <c r="L9" s="14" t="s">
        <v>132</v>
      </c>
    </row>
    <row r="10" spans="1:12" ht="409.6" x14ac:dyDescent="0.3">
      <c r="A10" s="13" t="str">
        <f t="shared" si="0"/>
        <v>BR-005</v>
      </c>
      <c r="B10" s="14" t="s">
        <v>119</v>
      </c>
      <c r="C10" s="14" t="s">
        <v>133</v>
      </c>
      <c r="D10" s="14" t="s">
        <v>134</v>
      </c>
      <c r="E10" s="14"/>
      <c r="F10" s="14"/>
      <c r="G10" s="14"/>
      <c r="H10" s="14"/>
      <c r="I10" s="14" t="s">
        <v>135</v>
      </c>
      <c r="J10" s="17"/>
      <c r="K10" s="14" t="s">
        <v>123</v>
      </c>
      <c r="L10" s="14" t="s">
        <v>136</v>
      </c>
    </row>
    <row r="11" spans="1:12" ht="184.8" x14ac:dyDescent="0.3">
      <c r="A11" s="13" t="str">
        <f t="shared" si="0"/>
        <v>BR-006</v>
      </c>
      <c r="B11" s="14" t="s">
        <v>137</v>
      </c>
      <c r="C11" s="14" t="s">
        <v>138</v>
      </c>
      <c r="D11" s="14" t="s">
        <v>139</v>
      </c>
      <c r="E11" s="14"/>
      <c r="F11" s="14"/>
      <c r="G11" s="14"/>
      <c r="H11" s="14"/>
      <c r="I11" s="14" t="s">
        <v>140</v>
      </c>
      <c r="J11" s="17"/>
      <c r="K11" s="14" t="s">
        <v>123</v>
      </c>
      <c r="L11" s="14" t="s">
        <v>141</v>
      </c>
    </row>
    <row r="12" spans="1:12" ht="158.4" x14ac:dyDescent="0.3">
      <c r="A12" s="13" t="str">
        <f t="shared" si="0"/>
        <v>BR-007</v>
      </c>
      <c r="B12" s="14" t="s">
        <v>137</v>
      </c>
      <c r="C12" s="14" t="s">
        <v>142</v>
      </c>
      <c r="D12" s="14" t="s">
        <v>143</v>
      </c>
      <c r="E12" s="14"/>
      <c r="F12" s="14"/>
      <c r="G12" s="14"/>
      <c r="H12" s="14"/>
      <c r="I12" s="14" t="s">
        <v>144</v>
      </c>
      <c r="J12" s="17"/>
      <c r="K12" s="14" t="s">
        <v>123</v>
      </c>
      <c r="L12" s="14" t="s">
        <v>145</v>
      </c>
    </row>
    <row r="13" spans="1:12" x14ac:dyDescent="0.3">
      <c r="A13" s="13" t="str">
        <f t="shared" si="0"/>
        <v/>
      </c>
      <c r="B13" s="14"/>
      <c r="C13" s="14"/>
      <c r="D13" s="14"/>
      <c r="E13" s="14"/>
      <c r="F13" s="14"/>
      <c r="G13" s="14"/>
      <c r="H13" s="14"/>
      <c r="I13" s="14"/>
      <c r="J13" s="17"/>
      <c r="K13" s="14"/>
      <c r="L13" s="14"/>
    </row>
    <row r="14" spans="1:12" x14ac:dyDescent="0.3">
      <c r="A14" s="13" t="str">
        <f t="shared" si="0"/>
        <v/>
      </c>
      <c r="B14" s="14"/>
      <c r="C14" s="14"/>
      <c r="D14" s="14"/>
      <c r="E14" s="14"/>
      <c r="F14" s="14"/>
      <c r="G14" s="14"/>
      <c r="H14" s="14"/>
      <c r="I14" s="14"/>
      <c r="J14" s="17"/>
      <c r="K14" s="14"/>
      <c r="L14" s="14"/>
    </row>
    <row r="15" spans="1:12" x14ac:dyDescent="0.3">
      <c r="A15" s="13" t="str">
        <f t="shared" si="0"/>
        <v/>
      </c>
      <c r="B15" s="14"/>
      <c r="C15" s="14"/>
      <c r="D15" s="14"/>
      <c r="E15" s="14"/>
      <c r="F15" s="14"/>
      <c r="G15" s="14"/>
      <c r="H15" s="14"/>
      <c r="I15" s="14"/>
      <c r="J15" s="17"/>
      <c r="K15" s="14"/>
      <c r="L15" s="14"/>
    </row>
    <row r="16" spans="1:12" x14ac:dyDescent="0.3">
      <c r="A16" s="13" t="str">
        <f t="shared" si="0"/>
        <v/>
      </c>
      <c r="B16" s="14"/>
      <c r="C16" s="14"/>
      <c r="D16" s="14"/>
      <c r="E16" s="14"/>
      <c r="F16" s="14"/>
      <c r="G16" s="14"/>
      <c r="H16" s="14"/>
      <c r="I16" s="14"/>
      <c r="J16" s="17"/>
      <c r="K16" s="14"/>
      <c r="L16" s="14"/>
    </row>
    <row r="17" spans="1:12" x14ac:dyDescent="0.3">
      <c r="A17" s="13" t="str">
        <f t="shared" si="0"/>
        <v/>
      </c>
      <c r="B17" s="14"/>
      <c r="C17" s="14"/>
      <c r="D17" s="14"/>
      <c r="E17" s="14"/>
      <c r="F17" s="14"/>
      <c r="G17" s="14"/>
      <c r="H17" s="14"/>
      <c r="I17" s="14"/>
      <c r="J17" s="17"/>
      <c r="K17" s="14"/>
      <c r="L17" s="14"/>
    </row>
    <row r="18" spans="1:12" x14ac:dyDescent="0.3">
      <c r="A18" s="13" t="str">
        <f t="shared" si="0"/>
        <v/>
      </c>
      <c r="B18" s="14"/>
      <c r="C18" s="14"/>
      <c r="D18" s="14"/>
      <c r="E18" s="14"/>
      <c r="F18" s="14"/>
      <c r="G18" s="14"/>
      <c r="H18" s="14"/>
      <c r="I18" s="14"/>
      <c r="J18" s="17"/>
      <c r="K18" s="14"/>
      <c r="L18" s="14"/>
    </row>
    <row r="19" spans="1:12" x14ac:dyDescent="0.3">
      <c r="A19" s="13" t="str">
        <f t="shared" si="0"/>
        <v/>
      </c>
      <c r="B19" s="14"/>
      <c r="C19" s="14"/>
      <c r="D19" s="14"/>
      <c r="E19" s="14"/>
      <c r="F19" s="14"/>
      <c r="G19" s="14"/>
      <c r="H19" s="14"/>
      <c r="I19" s="14"/>
      <c r="J19" s="17"/>
      <c r="K19" s="14"/>
      <c r="L19" s="14"/>
    </row>
    <row r="20" spans="1:12" x14ac:dyDescent="0.3">
      <c r="A20" s="13" t="str">
        <f t="shared" si="0"/>
        <v/>
      </c>
      <c r="B20" s="14"/>
      <c r="C20" s="14"/>
      <c r="D20" s="14"/>
      <c r="E20" s="14"/>
      <c r="F20" s="14"/>
      <c r="G20" s="14"/>
      <c r="H20" s="14"/>
      <c r="I20" s="14"/>
      <c r="J20" s="17"/>
      <c r="K20" s="14"/>
      <c r="L20" s="14"/>
    </row>
    <row r="21" spans="1:12" x14ac:dyDescent="0.3">
      <c r="A21" s="13" t="str">
        <f t="shared" si="0"/>
        <v/>
      </c>
      <c r="B21" s="14"/>
      <c r="C21" s="14"/>
      <c r="D21" s="14"/>
      <c r="E21" s="14"/>
      <c r="F21" s="14"/>
      <c r="G21" s="14"/>
      <c r="H21" s="14"/>
      <c r="I21" s="14"/>
      <c r="J21" s="17"/>
      <c r="K21" s="14"/>
      <c r="L21" s="14"/>
    </row>
    <row r="22" spans="1:12" x14ac:dyDescent="0.3">
      <c r="A22" s="13" t="str">
        <f t="shared" si="0"/>
        <v/>
      </c>
      <c r="B22" s="14"/>
      <c r="C22" s="14"/>
      <c r="D22" s="14"/>
      <c r="E22" s="14"/>
      <c r="F22" s="14"/>
      <c r="G22" s="14"/>
      <c r="H22" s="14"/>
      <c r="I22" s="14"/>
      <c r="J22" s="17"/>
      <c r="K22" s="14"/>
      <c r="L22" s="14"/>
    </row>
    <row r="23" spans="1:12" x14ac:dyDescent="0.3">
      <c r="A23" s="13" t="str">
        <f t="shared" si="0"/>
        <v/>
      </c>
      <c r="B23" s="14"/>
      <c r="C23" s="14"/>
      <c r="D23" s="14"/>
      <c r="E23" s="14"/>
      <c r="F23" s="14"/>
      <c r="G23" s="14"/>
      <c r="H23" s="14"/>
      <c r="I23" s="14"/>
      <c r="J23" s="17"/>
      <c r="K23" s="14"/>
      <c r="L23" s="14"/>
    </row>
    <row r="24" spans="1:12" x14ac:dyDescent="0.3">
      <c r="A24" s="13" t="str">
        <f t="shared" si="0"/>
        <v/>
      </c>
      <c r="B24" s="14"/>
      <c r="C24" s="14"/>
      <c r="D24" s="14"/>
      <c r="E24" s="14"/>
      <c r="F24" s="14"/>
      <c r="G24" s="14"/>
      <c r="H24" s="14"/>
      <c r="I24" s="14"/>
      <c r="J24" s="17"/>
      <c r="K24" s="14"/>
      <c r="L24" s="14"/>
    </row>
    <row r="25" spans="1:12" x14ac:dyDescent="0.3">
      <c r="A25" s="13" t="str">
        <f t="shared" si="0"/>
        <v/>
      </c>
      <c r="B25" s="14"/>
      <c r="C25" s="14"/>
      <c r="D25" s="14"/>
      <c r="E25" s="14"/>
      <c r="F25" s="14"/>
      <c r="G25" s="14"/>
      <c r="H25" s="14"/>
      <c r="I25" s="14"/>
      <c r="J25" s="17"/>
      <c r="K25" s="14"/>
      <c r="L25" s="14"/>
    </row>
    <row r="26" spans="1:12" x14ac:dyDescent="0.3">
      <c r="A26" s="13" t="str">
        <f t="shared" si="0"/>
        <v/>
      </c>
      <c r="B26" s="14"/>
      <c r="C26" s="14"/>
      <c r="D26" s="14"/>
      <c r="E26" s="14"/>
      <c r="F26" s="14"/>
      <c r="G26" s="14"/>
      <c r="H26" s="14"/>
      <c r="I26" s="14"/>
      <c r="J26" s="17"/>
      <c r="K26" s="14"/>
      <c r="L26" s="14"/>
    </row>
    <row r="27" spans="1:12" x14ac:dyDescent="0.3">
      <c r="A27" s="13" t="str">
        <f t="shared" si="0"/>
        <v/>
      </c>
      <c r="B27" s="14"/>
      <c r="C27" s="14"/>
      <c r="D27" s="14"/>
      <c r="E27" s="14"/>
      <c r="F27" s="14"/>
      <c r="G27" s="14"/>
      <c r="H27" s="14"/>
      <c r="I27" s="14"/>
      <c r="J27" s="17"/>
      <c r="K27" s="14"/>
      <c r="L27" s="14"/>
    </row>
    <row r="28" spans="1:12" x14ac:dyDescent="0.3">
      <c r="A28" s="13" t="str">
        <f t="shared" si="0"/>
        <v/>
      </c>
      <c r="B28" s="14"/>
      <c r="C28" s="14"/>
      <c r="D28" s="14"/>
      <c r="E28" s="14"/>
      <c r="F28" s="14"/>
      <c r="G28" s="14"/>
      <c r="H28" s="14"/>
      <c r="I28" s="14"/>
      <c r="J28" s="17"/>
      <c r="K28" s="14"/>
      <c r="L28" s="14"/>
    </row>
    <row r="29" spans="1:12" x14ac:dyDescent="0.3">
      <c r="A29" s="13" t="str">
        <f t="shared" si="0"/>
        <v/>
      </c>
      <c r="B29" s="14"/>
      <c r="C29" s="14"/>
      <c r="D29" s="14"/>
      <c r="E29" s="14"/>
      <c r="F29" s="14"/>
      <c r="G29" s="14"/>
      <c r="H29" s="14"/>
      <c r="I29" s="14"/>
      <c r="J29" s="17"/>
      <c r="K29" s="14"/>
      <c r="L29" s="14"/>
    </row>
    <row r="30" spans="1:12" x14ac:dyDescent="0.3">
      <c r="A30" s="13" t="str">
        <f t="shared" si="0"/>
        <v/>
      </c>
      <c r="B30" s="14"/>
      <c r="C30" s="14"/>
      <c r="D30" s="14"/>
      <c r="E30" s="14"/>
      <c r="F30" s="14"/>
      <c r="G30" s="14"/>
      <c r="H30" s="14"/>
      <c r="I30" s="14"/>
      <c r="J30" s="17"/>
      <c r="K30" s="14"/>
      <c r="L30" s="14"/>
    </row>
    <row r="31" spans="1:12" x14ac:dyDescent="0.3">
      <c r="A31" s="13" t="str">
        <f t="shared" si="0"/>
        <v/>
      </c>
      <c r="B31" s="14"/>
      <c r="C31" s="14"/>
      <c r="D31" s="14"/>
      <c r="E31" s="14"/>
      <c r="F31" s="14"/>
      <c r="G31" s="14"/>
      <c r="H31" s="14"/>
      <c r="I31" s="14"/>
      <c r="J31" s="17"/>
      <c r="K31" s="14"/>
      <c r="L31" s="14"/>
    </row>
    <row r="32" spans="1:12" x14ac:dyDescent="0.3">
      <c r="A32" s="13" t="str">
        <f t="shared" si="0"/>
        <v/>
      </c>
      <c r="B32" s="14"/>
      <c r="C32" s="14"/>
      <c r="D32" s="14"/>
      <c r="E32" s="14"/>
      <c r="F32" s="14"/>
      <c r="G32" s="14"/>
      <c r="H32" s="14"/>
      <c r="I32" s="14"/>
      <c r="J32" s="17"/>
      <c r="K32" s="14"/>
      <c r="L32" s="14"/>
    </row>
    <row r="33" spans="1:12" x14ac:dyDescent="0.3">
      <c r="A33" s="13" t="str">
        <f t="shared" si="0"/>
        <v/>
      </c>
      <c r="B33" s="14"/>
      <c r="C33" s="14"/>
      <c r="D33" s="14"/>
      <c r="E33" s="14"/>
      <c r="F33" s="14"/>
      <c r="G33" s="14"/>
      <c r="H33" s="14"/>
      <c r="I33" s="14"/>
      <c r="J33" s="17"/>
      <c r="K33" s="14"/>
      <c r="L33" s="14"/>
    </row>
    <row r="34" spans="1:12" x14ac:dyDescent="0.3">
      <c r="A34" s="13" t="str">
        <f t="shared" si="0"/>
        <v/>
      </c>
      <c r="B34" s="14"/>
      <c r="C34" s="14"/>
      <c r="D34" s="14"/>
      <c r="E34" s="14"/>
      <c r="F34" s="14"/>
      <c r="G34" s="14"/>
      <c r="H34" s="14"/>
      <c r="I34" s="14"/>
      <c r="J34" s="17"/>
      <c r="K34" s="14"/>
      <c r="L34" s="14"/>
    </row>
    <row r="35" spans="1:12" x14ac:dyDescent="0.3">
      <c r="A35" s="13" t="str">
        <f t="shared" si="0"/>
        <v/>
      </c>
      <c r="B35" s="14"/>
      <c r="C35" s="14"/>
      <c r="D35" s="14"/>
      <c r="E35" s="14"/>
      <c r="F35" s="14"/>
      <c r="G35" s="14"/>
      <c r="H35" s="14"/>
      <c r="I35" s="14"/>
      <c r="J35" s="17"/>
      <c r="K35" s="14"/>
      <c r="L35" s="14"/>
    </row>
    <row r="36" spans="1:12" x14ac:dyDescent="0.3">
      <c r="A36" s="13" t="str">
        <f t="shared" si="0"/>
        <v/>
      </c>
      <c r="B36" s="14"/>
      <c r="C36" s="14"/>
      <c r="D36" s="14"/>
      <c r="E36" s="14"/>
      <c r="F36" s="14"/>
      <c r="G36" s="14"/>
      <c r="H36" s="14"/>
      <c r="I36" s="14"/>
      <c r="J36" s="17"/>
      <c r="K36" s="14"/>
      <c r="L36" s="14"/>
    </row>
    <row r="37" spans="1:12" x14ac:dyDescent="0.3">
      <c r="A37" s="13" t="str">
        <f t="shared" si="0"/>
        <v/>
      </c>
      <c r="B37" s="14"/>
      <c r="C37" s="14"/>
      <c r="D37" s="14"/>
      <c r="E37" s="14"/>
      <c r="F37" s="14"/>
      <c r="G37" s="14"/>
      <c r="H37" s="14"/>
      <c r="I37" s="14"/>
      <c r="J37" s="17"/>
      <c r="K37" s="14"/>
      <c r="L37" s="14"/>
    </row>
    <row r="38" spans="1:12" x14ac:dyDescent="0.3">
      <c r="A38" s="13" t="str">
        <f t="shared" si="0"/>
        <v/>
      </c>
      <c r="B38" s="14"/>
      <c r="C38" s="14"/>
      <c r="D38" s="14"/>
      <c r="E38" s="14"/>
      <c r="F38" s="14"/>
      <c r="G38" s="14"/>
      <c r="H38" s="14"/>
      <c r="I38" s="14"/>
      <c r="J38" s="17"/>
      <c r="K38" s="14"/>
      <c r="L38" s="14"/>
    </row>
    <row r="39" spans="1:12" x14ac:dyDescent="0.3">
      <c r="A39" s="13" t="str">
        <f t="shared" ref="A39:A66" si="1">IF(C39="","","BR-"&amp;TEXT(ROW()-5,"000"))</f>
        <v/>
      </c>
      <c r="B39" s="14"/>
      <c r="C39" s="14"/>
      <c r="D39" s="14"/>
      <c r="E39" s="14"/>
      <c r="F39" s="14"/>
      <c r="G39" s="14"/>
      <c r="H39" s="14"/>
      <c r="I39" s="14"/>
      <c r="J39" s="17"/>
      <c r="K39" s="14"/>
      <c r="L39" s="14"/>
    </row>
    <row r="40" spans="1:12" x14ac:dyDescent="0.3">
      <c r="A40" s="13" t="str">
        <f t="shared" si="1"/>
        <v/>
      </c>
      <c r="B40" s="14"/>
      <c r="C40" s="14"/>
      <c r="D40" s="14"/>
      <c r="E40" s="14"/>
      <c r="F40" s="14"/>
      <c r="G40" s="14"/>
      <c r="H40" s="14"/>
      <c r="I40" s="14"/>
      <c r="J40" s="17"/>
      <c r="K40" s="14"/>
      <c r="L40" s="14"/>
    </row>
    <row r="41" spans="1:12" x14ac:dyDescent="0.3">
      <c r="A41" s="13" t="str">
        <f t="shared" si="1"/>
        <v/>
      </c>
      <c r="B41" s="14"/>
      <c r="C41" s="14"/>
      <c r="D41" s="14"/>
      <c r="E41" s="14"/>
      <c r="F41" s="14"/>
      <c r="G41" s="14"/>
      <c r="H41" s="14"/>
      <c r="I41" s="14"/>
      <c r="J41" s="17"/>
      <c r="K41" s="14"/>
      <c r="L41" s="14"/>
    </row>
    <row r="42" spans="1:12" x14ac:dyDescent="0.3">
      <c r="A42" s="13" t="str">
        <f t="shared" si="1"/>
        <v/>
      </c>
      <c r="B42" s="14"/>
      <c r="C42" s="14"/>
      <c r="D42" s="14"/>
      <c r="E42" s="14"/>
      <c r="F42" s="14"/>
      <c r="G42" s="14"/>
      <c r="H42" s="14"/>
      <c r="I42" s="14"/>
      <c r="J42" s="17"/>
      <c r="K42" s="14"/>
      <c r="L42" s="14"/>
    </row>
    <row r="43" spans="1:12" x14ac:dyDescent="0.3">
      <c r="A43" s="13" t="str">
        <f t="shared" si="1"/>
        <v/>
      </c>
      <c r="B43" s="14"/>
      <c r="C43" s="14"/>
      <c r="D43" s="14"/>
      <c r="E43" s="14"/>
      <c r="F43" s="14"/>
      <c r="G43" s="14"/>
      <c r="H43" s="14"/>
      <c r="I43" s="14"/>
      <c r="J43" s="17"/>
      <c r="K43" s="14"/>
      <c r="L43" s="14"/>
    </row>
    <row r="44" spans="1:12" x14ac:dyDescent="0.3">
      <c r="A44" s="13" t="str">
        <f t="shared" si="1"/>
        <v/>
      </c>
      <c r="B44" s="14"/>
      <c r="C44" s="14"/>
      <c r="D44" s="14"/>
      <c r="E44" s="14"/>
      <c r="F44" s="14"/>
      <c r="G44" s="14"/>
      <c r="H44" s="14"/>
      <c r="I44" s="14"/>
      <c r="J44" s="17"/>
      <c r="K44" s="14"/>
      <c r="L44" s="14"/>
    </row>
    <row r="45" spans="1:12" x14ac:dyDescent="0.3">
      <c r="A45" s="13" t="str">
        <f t="shared" si="1"/>
        <v/>
      </c>
      <c r="B45" s="14"/>
      <c r="C45" s="14"/>
      <c r="D45" s="14"/>
      <c r="E45" s="14"/>
      <c r="F45" s="14"/>
      <c r="G45" s="14"/>
      <c r="H45" s="14"/>
      <c r="I45" s="14"/>
      <c r="J45" s="17"/>
      <c r="K45" s="14"/>
      <c r="L45" s="14"/>
    </row>
    <row r="46" spans="1:12" x14ac:dyDescent="0.3">
      <c r="A46" s="13" t="str">
        <f t="shared" si="1"/>
        <v/>
      </c>
      <c r="B46" s="14"/>
      <c r="C46" s="14"/>
      <c r="D46" s="14"/>
      <c r="E46" s="14"/>
      <c r="F46" s="14"/>
      <c r="G46" s="14"/>
      <c r="H46" s="14"/>
      <c r="I46" s="14"/>
      <c r="J46" s="17"/>
      <c r="K46" s="14"/>
      <c r="L46" s="14"/>
    </row>
    <row r="47" spans="1:12" x14ac:dyDescent="0.3">
      <c r="A47" s="13" t="str">
        <f t="shared" si="1"/>
        <v/>
      </c>
      <c r="B47" s="14"/>
      <c r="C47" s="14"/>
      <c r="D47" s="14"/>
      <c r="E47" s="14"/>
      <c r="F47" s="14"/>
      <c r="G47" s="14"/>
      <c r="H47" s="14"/>
      <c r="I47" s="14"/>
      <c r="J47" s="17"/>
      <c r="K47" s="14"/>
      <c r="L47" s="14"/>
    </row>
    <row r="48" spans="1:12" x14ac:dyDescent="0.3">
      <c r="A48" s="13" t="str">
        <f t="shared" si="1"/>
        <v/>
      </c>
      <c r="B48" s="14"/>
      <c r="C48" s="14"/>
      <c r="D48" s="14"/>
      <c r="E48" s="14"/>
      <c r="F48" s="14"/>
      <c r="G48" s="14"/>
      <c r="H48" s="14"/>
      <c r="I48" s="14"/>
      <c r="J48" s="17"/>
      <c r="K48" s="14"/>
      <c r="L48" s="14"/>
    </row>
    <row r="49" spans="1:12" x14ac:dyDescent="0.3">
      <c r="A49" s="13" t="str">
        <f t="shared" si="1"/>
        <v/>
      </c>
      <c r="B49" s="14"/>
      <c r="C49" s="14"/>
      <c r="D49" s="14"/>
      <c r="E49" s="14"/>
      <c r="F49" s="14"/>
      <c r="G49" s="14"/>
      <c r="H49" s="14"/>
      <c r="I49" s="14"/>
      <c r="J49" s="17"/>
      <c r="K49" s="14"/>
      <c r="L49" s="14"/>
    </row>
    <row r="50" spans="1:12" x14ac:dyDescent="0.3">
      <c r="A50" s="13" t="str">
        <f t="shared" si="1"/>
        <v/>
      </c>
      <c r="B50" s="14"/>
      <c r="C50" s="14"/>
      <c r="D50" s="14"/>
      <c r="E50" s="14"/>
      <c r="F50" s="14"/>
      <c r="G50" s="14"/>
      <c r="H50" s="14"/>
      <c r="I50" s="14"/>
      <c r="J50" s="17"/>
      <c r="K50" s="14"/>
      <c r="L50" s="14"/>
    </row>
    <row r="51" spans="1:12" x14ac:dyDescent="0.3">
      <c r="A51" s="13" t="str">
        <f t="shared" si="1"/>
        <v/>
      </c>
      <c r="B51" s="14"/>
      <c r="C51" s="14"/>
      <c r="D51" s="14"/>
      <c r="E51" s="14"/>
      <c r="F51" s="14"/>
      <c r="G51" s="14"/>
      <c r="H51" s="14"/>
      <c r="I51" s="14"/>
      <c r="J51" s="17"/>
      <c r="K51" s="14"/>
      <c r="L51" s="14"/>
    </row>
    <row r="52" spans="1:12" x14ac:dyDescent="0.3">
      <c r="A52" s="13" t="str">
        <f t="shared" si="1"/>
        <v/>
      </c>
      <c r="B52" s="14"/>
      <c r="C52" s="14"/>
      <c r="D52" s="14"/>
      <c r="E52" s="14"/>
      <c r="F52" s="14"/>
      <c r="G52" s="14"/>
      <c r="H52" s="14"/>
      <c r="I52" s="14"/>
      <c r="J52" s="17"/>
      <c r="K52" s="14"/>
      <c r="L52" s="14"/>
    </row>
    <row r="53" spans="1:12" x14ac:dyDescent="0.3">
      <c r="A53" s="13" t="str">
        <f t="shared" si="1"/>
        <v/>
      </c>
      <c r="B53" s="14"/>
      <c r="C53" s="14"/>
      <c r="D53" s="14"/>
      <c r="E53" s="14"/>
      <c r="F53" s="14"/>
      <c r="G53" s="14"/>
      <c r="H53" s="14"/>
      <c r="I53" s="14"/>
      <c r="J53" s="17"/>
      <c r="K53" s="14"/>
      <c r="L53" s="14"/>
    </row>
    <row r="54" spans="1:12" x14ac:dyDescent="0.3">
      <c r="A54" s="13" t="str">
        <f t="shared" si="1"/>
        <v/>
      </c>
      <c r="B54" s="14"/>
      <c r="C54" s="14"/>
      <c r="D54" s="14"/>
      <c r="E54" s="14"/>
      <c r="F54" s="14"/>
      <c r="G54" s="14"/>
      <c r="H54" s="14"/>
      <c r="I54" s="14"/>
      <c r="J54" s="17"/>
      <c r="K54" s="14"/>
      <c r="L54" s="14"/>
    </row>
    <row r="55" spans="1:12" x14ac:dyDescent="0.3">
      <c r="A55" s="13" t="str">
        <f t="shared" si="1"/>
        <v/>
      </c>
      <c r="B55" s="14"/>
      <c r="C55" s="14"/>
      <c r="D55" s="14"/>
      <c r="E55" s="14"/>
      <c r="F55" s="14"/>
      <c r="G55" s="14"/>
      <c r="H55" s="14"/>
      <c r="I55" s="14"/>
      <c r="J55" s="17"/>
      <c r="K55" s="14"/>
      <c r="L55" s="14"/>
    </row>
    <row r="56" spans="1:12" x14ac:dyDescent="0.3">
      <c r="A56" s="13" t="str">
        <f t="shared" si="1"/>
        <v/>
      </c>
      <c r="B56" s="14"/>
      <c r="C56" s="14"/>
      <c r="D56" s="14"/>
      <c r="E56" s="14"/>
      <c r="F56" s="14"/>
      <c r="G56" s="14"/>
      <c r="H56" s="14"/>
      <c r="I56" s="14"/>
      <c r="J56" s="17"/>
      <c r="K56" s="14"/>
      <c r="L56" s="14"/>
    </row>
    <row r="57" spans="1:12" x14ac:dyDescent="0.3">
      <c r="A57" s="13" t="str">
        <f t="shared" si="1"/>
        <v/>
      </c>
      <c r="B57" s="14"/>
      <c r="C57" s="14"/>
      <c r="D57" s="14"/>
      <c r="E57" s="14"/>
      <c r="F57" s="14"/>
      <c r="G57" s="14"/>
      <c r="H57" s="14"/>
      <c r="I57" s="14"/>
      <c r="J57" s="17"/>
      <c r="K57" s="14"/>
      <c r="L57" s="14"/>
    </row>
    <row r="58" spans="1:12" x14ac:dyDescent="0.3">
      <c r="A58" s="13" t="str">
        <f t="shared" si="1"/>
        <v/>
      </c>
      <c r="B58" s="14"/>
      <c r="C58" s="14"/>
      <c r="D58" s="14"/>
      <c r="E58" s="14"/>
      <c r="F58" s="14"/>
      <c r="G58" s="14"/>
      <c r="H58" s="14"/>
      <c r="I58" s="14"/>
      <c r="J58" s="17"/>
      <c r="K58" s="14"/>
      <c r="L58" s="14"/>
    </row>
    <row r="59" spans="1:12" x14ac:dyDescent="0.3">
      <c r="A59" s="13" t="str">
        <f t="shared" si="1"/>
        <v/>
      </c>
      <c r="B59" s="14"/>
      <c r="C59" s="14"/>
      <c r="D59" s="14"/>
      <c r="E59" s="14"/>
      <c r="F59" s="14"/>
      <c r="G59" s="14"/>
      <c r="H59" s="14"/>
      <c r="I59" s="14"/>
      <c r="J59" s="17"/>
      <c r="K59" s="14"/>
      <c r="L59" s="14"/>
    </row>
    <row r="60" spans="1:12" x14ac:dyDescent="0.3">
      <c r="A60" s="13" t="str">
        <f t="shared" si="1"/>
        <v/>
      </c>
      <c r="B60" s="14"/>
      <c r="C60" s="14"/>
      <c r="D60" s="14"/>
      <c r="E60" s="14"/>
      <c r="F60" s="14"/>
      <c r="G60" s="14"/>
      <c r="H60" s="14"/>
      <c r="I60" s="14"/>
      <c r="J60" s="17"/>
      <c r="K60" s="14"/>
      <c r="L60" s="14"/>
    </row>
    <row r="61" spans="1:12" x14ac:dyDescent="0.3">
      <c r="A61" s="13" t="str">
        <f t="shared" si="1"/>
        <v/>
      </c>
      <c r="B61" s="14"/>
      <c r="C61" s="14"/>
      <c r="D61" s="14"/>
      <c r="E61" s="14"/>
      <c r="F61" s="14"/>
      <c r="G61" s="14"/>
      <c r="H61" s="14"/>
      <c r="I61" s="14"/>
      <c r="J61" s="17"/>
      <c r="K61" s="14"/>
      <c r="L61" s="14"/>
    </row>
    <row r="62" spans="1:12" x14ac:dyDescent="0.3">
      <c r="A62" s="13" t="str">
        <f t="shared" si="1"/>
        <v/>
      </c>
      <c r="B62" s="14"/>
      <c r="C62" s="14"/>
      <c r="D62" s="14"/>
      <c r="E62" s="14"/>
      <c r="F62" s="14"/>
      <c r="G62" s="14"/>
      <c r="H62" s="14"/>
      <c r="I62" s="14"/>
      <c r="J62" s="17"/>
      <c r="K62" s="14"/>
      <c r="L62" s="14"/>
    </row>
    <row r="63" spans="1:12" x14ac:dyDescent="0.3">
      <c r="A63" s="13" t="str">
        <f t="shared" si="1"/>
        <v/>
      </c>
      <c r="B63" s="14"/>
      <c r="C63" s="14"/>
      <c r="D63" s="14"/>
      <c r="E63" s="14"/>
      <c r="F63" s="14"/>
      <c r="G63" s="14"/>
      <c r="H63" s="14"/>
      <c r="I63" s="14"/>
      <c r="J63" s="17"/>
      <c r="K63" s="14"/>
      <c r="L63" s="14"/>
    </row>
    <row r="64" spans="1:12" x14ac:dyDescent="0.3">
      <c r="A64" s="13" t="str">
        <f t="shared" si="1"/>
        <v/>
      </c>
      <c r="B64" s="14"/>
      <c r="C64" s="14"/>
      <c r="D64" s="14"/>
      <c r="E64" s="14"/>
      <c r="F64" s="14"/>
      <c r="G64" s="14"/>
      <c r="H64" s="14"/>
      <c r="I64" s="14"/>
      <c r="J64" s="17"/>
      <c r="K64" s="14"/>
      <c r="L64" s="14"/>
    </row>
    <row r="65" spans="1:12" x14ac:dyDescent="0.3">
      <c r="A65" s="13" t="str">
        <f t="shared" si="1"/>
        <v/>
      </c>
      <c r="B65" s="14"/>
      <c r="C65" s="14"/>
      <c r="D65" s="14"/>
      <c r="E65" s="14"/>
      <c r="F65" s="14"/>
      <c r="G65" s="14"/>
      <c r="H65" s="14"/>
      <c r="I65" s="14"/>
      <c r="J65" s="17"/>
      <c r="K65" s="14"/>
      <c r="L65" s="14"/>
    </row>
    <row r="66" spans="1:12" x14ac:dyDescent="0.3">
      <c r="A66" s="13" t="str">
        <f t="shared" si="1"/>
        <v/>
      </c>
      <c r="B66" s="14"/>
      <c r="C66" s="14"/>
      <c r="D66" s="14"/>
      <c r="E66" s="14"/>
      <c r="F66" s="14"/>
      <c r="G66" s="14"/>
      <c r="H66" s="14"/>
      <c r="I66" s="14"/>
      <c r="J66" s="17"/>
      <c r="K66" s="14"/>
      <c r="L66" s="14"/>
    </row>
  </sheetData>
  <mergeCells count="2">
    <mergeCell ref="B2:L2"/>
    <mergeCell ref="B1:L1"/>
  </mergeCells>
  <dataValidations count="4">
    <dataValidation type="list" allowBlank="1" showErrorMessage="1" errorTitle="Pick from the list" error="Choose a value from the dropdown, or add it to the list first." sqref="B7:B66">
      <formula1>Area</formula1>
    </dataValidation>
    <dataValidation type="list" allowBlank="1" showErrorMessage="1" errorTitle="Pick from the list" error="Choose a value from the dropdown, or add it to the list first." sqref="F7:F66">
      <formula1>Priority</formula1>
    </dataValidation>
    <dataValidation type="list" allowBlank="1" showErrorMessage="1" errorTitle="Pick from the list" error="Choose a value from the dropdown, or add it to the list first." sqref="K7:K66">
      <formula1>ReqStatus</formula1>
    </dataValidation>
    <dataValidation type="date" operator="greaterThan" allowBlank="1" showErrorMessage="1" error="Enter a date (dd/mm/yyyy)." sqref="J7:J66">
      <formula1>DATE(2026,1,1)</formula1>
    </dataValidation>
  </dataValidations>
  <pageMargins left="0.75" right="0.75" top="1" bottom="1" header="0.5" footer="0.5"/>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24638"/>
  </sheetPr>
  <dimension ref="A1:F16"/>
  <sheetViews>
    <sheetView showGridLines="0" zoomScale="90" workbookViewId="0">
      <pane xSplit="2" ySplit="5" topLeftCell="C6" activePane="bottomRight" state="frozen"/>
      <selection pane="topRight"/>
      <selection pane="bottomLeft"/>
      <selection pane="bottomRight"/>
    </sheetView>
  </sheetViews>
  <sheetFormatPr defaultRowHeight="14.4" x14ac:dyDescent="0.3"/>
  <cols>
    <col min="1" max="1" width="5" customWidth="1"/>
    <col min="2" max="2" width="24" customWidth="1"/>
    <col min="3" max="3" width="42" customWidth="1"/>
    <col min="4" max="4" width="52" customWidth="1"/>
    <col min="5" max="5" width="46" customWidth="1"/>
    <col min="6" max="6" width="40" customWidth="1"/>
  </cols>
  <sheetData>
    <row r="1" spans="1:6" ht="43.95" customHeight="1" x14ac:dyDescent="0.3">
      <c r="B1" s="30" t="s">
        <v>146</v>
      </c>
      <c r="C1" s="31"/>
      <c r="D1" s="31"/>
      <c r="E1" s="31"/>
      <c r="F1" s="31"/>
    </row>
    <row r="2" spans="1:6" ht="22.05" customHeight="1" x14ac:dyDescent="0.3">
      <c r="B2" s="34" t="s">
        <v>147</v>
      </c>
      <c r="C2" s="31"/>
      <c r="D2" s="31"/>
      <c r="E2" s="31"/>
      <c r="F2" s="31"/>
    </row>
    <row r="4" spans="1:6" x14ac:dyDescent="0.3">
      <c r="A4" s="9" t="s">
        <v>148</v>
      </c>
    </row>
    <row r="5" spans="1:6" ht="24" customHeight="1" x14ac:dyDescent="0.3">
      <c r="A5" s="18" t="s">
        <v>149</v>
      </c>
      <c r="B5" s="18" t="s">
        <v>97</v>
      </c>
      <c r="C5" s="18" t="s">
        <v>150</v>
      </c>
      <c r="D5" s="18" t="s">
        <v>151</v>
      </c>
      <c r="E5" s="18" t="s">
        <v>152</v>
      </c>
      <c r="F5" s="18" t="s">
        <v>153</v>
      </c>
    </row>
    <row r="6" spans="1:6" ht="39.6" x14ac:dyDescent="0.3">
      <c r="A6" s="19">
        <v>1</v>
      </c>
      <c r="B6" s="20" t="s">
        <v>154</v>
      </c>
      <c r="C6" s="19" t="s">
        <v>155</v>
      </c>
      <c r="D6" s="19" t="s">
        <v>156</v>
      </c>
      <c r="E6" s="19" t="s">
        <v>157</v>
      </c>
      <c r="F6" s="14"/>
    </row>
    <row r="7" spans="1:6" ht="39.6" x14ac:dyDescent="0.3">
      <c r="A7" s="21">
        <v>2</v>
      </c>
      <c r="B7" s="22" t="s">
        <v>158</v>
      </c>
      <c r="C7" s="21" t="s">
        <v>159</v>
      </c>
      <c r="D7" s="21" t="s">
        <v>160</v>
      </c>
      <c r="E7" s="21" t="s">
        <v>161</v>
      </c>
      <c r="F7" s="14"/>
    </row>
    <row r="8" spans="1:6" ht="39.6" x14ac:dyDescent="0.3">
      <c r="A8" s="19">
        <v>3</v>
      </c>
      <c r="B8" s="20" t="s">
        <v>162</v>
      </c>
      <c r="C8" s="19" t="s">
        <v>163</v>
      </c>
      <c r="D8" s="19" t="s">
        <v>164</v>
      </c>
      <c r="E8" s="19" t="s">
        <v>68</v>
      </c>
      <c r="F8" s="23"/>
    </row>
    <row r="9" spans="1:6" ht="26.4" x14ac:dyDescent="0.3">
      <c r="A9" s="21">
        <v>4</v>
      </c>
      <c r="B9" s="22" t="s">
        <v>165</v>
      </c>
      <c r="C9" s="21" t="s">
        <v>166</v>
      </c>
      <c r="D9" s="21" t="s">
        <v>167</v>
      </c>
      <c r="E9" s="21" t="s">
        <v>168</v>
      </c>
      <c r="F9" s="14"/>
    </row>
    <row r="10" spans="1:6" ht="39.6" x14ac:dyDescent="0.3">
      <c r="A10" s="19">
        <v>5</v>
      </c>
      <c r="B10" s="20" t="s">
        <v>108</v>
      </c>
      <c r="C10" s="19" t="s">
        <v>169</v>
      </c>
      <c r="D10" s="19" t="s">
        <v>170</v>
      </c>
      <c r="E10" s="19" t="s">
        <v>68</v>
      </c>
      <c r="F10" s="23"/>
    </row>
    <row r="11" spans="1:6" ht="39.6" x14ac:dyDescent="0.3">
      <c r="A11" s="21">
        <v>6</v>
      </c>
      <c r="B11" s="22" t="s">
        <v>171</v>
      </c>
      <c r="C11" s="21" t="s">
        <v>172</v>
      </c>
      <c r="D11" s="21" t="s">
        <v>173</v>
      </c>
      <c r="E11" s="21" t="s">
        <v>174</v>
      </c>
      <c r="F11" s="14"/>
    </row>
    <row r="12" spans="1:6" ht="26.4" x14ac:dyDescent="0.3">
      <c r="A12" s="19">
        <v>7</v>
      </c>
      <c r="B12" s="20" t="s">
        <v>175</v>
      </c>
      <c r="C12" s="19" t="s">
        <v>176</v>
      </c>
      <c r="D12" s="19" t="s">
        <v>177</v>
      </c>
      <c r="E12" s="19" t="s">
        <v>178</v>
      </c>
      <c r="F12" s="14"/>
    </row>
    <row r="13" spans="1:6" ht="39.6" x14ac:dyDescent="0.3">
      <c r="A13" s="21">
        <v>8</v>
      </c>
      <c r="B13" s="22" t="s">
        <v>179</v>
      </c>
      <c r="C13" s="21" t="s">
        <v>180</v>
      </c>
      <c r="D13" s="21" t="s">
        <v>181</v>
      </c>
      <c r="E13" s="21" t="s">
        <v>182</v>
      </c>
      <c r="F13" s="14"/>
    </row>
    <row r="14" spans="1:6" ht="39.6" x14ac:dyDescent="0.3">
      <c r="A14" s="19">
        <v>9</v>
      </c>
      <c r="B14" s="20" t="s">
        <v>183</v>
      </c>
      <c r="C14" s="19" t="s">
        <v>68</v>
      </c>
      <c r="D14" s="19" t="s">
        <v>184</v>
      </c>
      <c r="E14" s="19" t="s">
        <v>185</v>
      </c>
      <c r="F14" s="24" t="s">
        <v>186</v>
      </c>
    </row>
    <row r="15" spans="1:6" ht="26.4" x14ac:dyDescent="0.3">
      <c r="A15" s="21">
        <v>10</v>
      </c>
      <c r="B15" s="22" t="s">
        <v>187</v>
      </c>
      <c r="C15" s="21" t="s">
        <v>188</v>
      </c>
      <c r="D15" s="21" t="s">
        <v>189</v>
      </c>
      <c r="E15" s="21" t="s">
        <v>68</v>
      </c>
      <c r="F15" s="23"/>
    </row>
    <row r="16" spans="1:6" ht="26.4" x14ac:dyDescent="0.3">
      <c r="A16" s="19">
        <v>11</v>
      </c>
      <c r="B16" s="20" t="s">
        <v>190</v>
      </c>
      <c r="C16" s="19" t="s">
        <v>68</v>
      </c>
      <c r="D16" s="19" t="s">
        <v>191</v>
      </c>
      <c r="E16" s="19" t="s">
        <v>68</v>
      </c>
      <c r="F16" s="23"/>
    </row>
  </sheetData>
  <mergeCells count="2">
    <mergeCell ref="B2:F2"/>
    <mergeCell ref="B1:F1"/>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24638"/>
  </sheetPr>
  <dimension ref="A1:F16"/>
  <sheetViews>
    <sheetView showGridLines="0" zoomScale="90" workbookViewId="0">
      <pane xSplit="2" ySplit="5" topLeftCell="C6" activePane="bottomRight" state="frozen"/>
      <selection pane="topRight"/>
      <selection pane="bottomLeft"/>
      <selection pane="bottomRight"/>
    </sheetView>
  </sheetViews>
  <sheetFormatPr defaultRowHeight="14.4" x14ac:dyDescent="0.3"/>
  <cols>
    <col min="1" max="1" width="5" customWidth="1"/>
    <col min="2" max="2" width="24" customWidth="1"/>
    <col min="3" max="3" width="42" customWidth="1"/>
    <col min="4" max="4" width="52" customWidth="1"/>
    <col min="5" max="5" width="46" customWidth="1"/>
    <col min="6" max="6" width="40" customWidth="1"/>
  </cols>
  <sheetData>
    <row r="1" spans="1:6" ht="43.95" customHeight="1" x14ac:dyDescent="0.3">
      <c r="B1" s="30" t="s">
        <v>192</v>
      </c>
      <c r="C1" s="31"/>
      <c r="D1" s="31"/>
      <c r="E1" s="31"/>
      <c r="F1" s="31"/>
    </row>
    <row r="2" spans="1:6" ht="22.05" customHeight="1" x14ac:dyDescent="0.3">
      <c r="B2" s="34" t="s">
        <v>193</v>
      </c>
      <c r="C2" s="31"/>
      <c r="D2" s="31"/>
      <c r="E2" s="31"/>
      <c r="F2" s="31"/>
    </row>
    <row r="4" spans="1:6" x14ac:dyDescent="0.3">
      <c r="A4" s="9" t="s">
        <v>194</v>
      </c>
    </row>
    <row r="5" spans="1:6" ht="24" customHeight="1" x14ac:dyDescent="0.3">
      <c r="A5" s="18" t="s">
        <v>149</v>
      </c>
      <c r="B5" s="18" t="s">
        <v>97</v>
      </c>
      <c r="C5" s="18" t="s">
        <v>150</v>
      </c>
      <c r="D5" s="18" t="s">
        <v>151</v>
      </c>
      <c r="E5" s="18" t="s">
        <v>152</v>
      </c>
      <c r="F5" s="18" t="s">
        <v>153</v>
      </c>
    </row>
    <row r="6" spans="1:6" ht="52.8" x14ac:dyDescent="0.3">
      <c r="A6" s="19">
        <v>1</v>
      </c>
      <c r="B6" s="20" t="s">
        <v>195</v>
      </c>
      <c r="C6" s="19" t="s">
        <v>196</v>
      </c>
      <c r="D6" s="19" t="s">
        <v>197</v>
      </c>
      <c r="E6" s="19" t="s">
        <v>198</v>
      </c>
      <c r="F6" s="14"/>
    </row>
    <row r="7" spans="1:6" ht="66" x14ac:dyDescent="0.3">
      <c r="A7" s="21">
        <v>2</v>
      </c>
      <c r="B7" s="22" t="s">
        <v>199</v>
      </c>
      <c r="C7" s="21" t="s">
        <v>200</v>
      </c>
      <c r="D7" s="21" t="s">
        <v>201</v>
      </c>
      <c r="E7" s="21" t="s">
        <v>202</v>
      </c>
      <c r="F7" s="14"/>
    </row>
    <row r="8" spans="1:6" ht="26.4" x14ac:dyDescent="0.3">
      <c r="A8" s="19">
        <v>3</v>
      </c>
      <c r="B8" s="20" t="s">
        <v>203</v>
      </c>
      <c r="C8" s="19" t="s">
        <v>68</v>
      </c>
      <c r="D8" s="19" t="s">
        <v>204</v>
      </c>
      <c r="E8" s="19" t="s">
        <v>205</v>
      </c>
      <c r="F8" s="14"/>
    </row>
    <row r="9" spans="1:6" ht="26.4" x14ac:dyDescent="0.3">
      <c r="A9" s="21">
        <v>4</v>
      </c>
      <c r="B9" s="22" t="s">
        <v>206</v>
      </c>
      <c r="C9" s="21" t="s">
        <v>207</v>
      </c>
      <c r="D9" s="21" t="s">
        <v>208</v>
      </c>
      <c r="E9" s="21" t="s">
        <v>209</v>
      </c>
      <c r="F9" s="14"/>
    </row>
    <row r="10" spans="1:6" ht="26.4" x14ac:dyDescent="0.3">
      <c r="A10" s="19">
        <v>5</v>
      </c>
      <c r="B10" s="20" t="s">
        <v>165</v>
      </c>
      <c r="C10" s="19" t="s">
        <v>210</v>
      </c>
      <c r="D10" s="19" t="s">
        <v>211</v>
      </c>
      <c r="E10" s="19" t="s">
        <v>68</v>
      </c>
      <c r="F10" s="23"/>
    </row>
    <row r="11" spans="1:6" ht="52.8" x14ac:dyDescent="0.3">
      <c r="A11" s="21">
        <v>6</v>
      </c>
      <c r="B11" s="22" t="s">
        <v>212</v>
      </c>
      <c r="C11" s="21" t="s">
        <v>213</v>
      </c>
      <c r="D11" s="21" t="s">
        <v>214</v>
      </c>
      <c r="E11" s="21" t="s">
        <v>215</v>
      </c>
      <c r="F11" s="14"/>
    </row>
    <row r="12" spans="1:6" ht="39.6" x14ac:dyDescent="0.3">
      <c r="A12" s="19">
        <v>7</v>
      </c>
      <c r="B12" s="20" t="s">
        <v>216</v>
      </c>
      <c r="C12" s="19" t="s">
        <v>68</v>
      </c>
      <c r="D12" s="19" t="s">
        <v>217</v>
      </c>
      <c r="E12" s="19" t="s">
        <v>218</v>
      </c>
      <c r="F12" s="14"/>
    </row>
    <row r="13" spans="1:6" ht="52.8" x14ac:dyDescent="0.3">
      <c r="A13" s="21">
        <v>8</v>
      </c>
      <c r="B13" s="22" t="s">
        <v>219</v>
      </c>
      <c r="C13" s="21" t="s">
        <v>220</v>
      </c>
      <c r="D13" s="21" t="s">
        <v>221</v>
      </c>
      <c r="E13" s="21" t="s">
        <v>222</v>
      </c>
      <c r="F13" s="14"/>
    </row>
    <row r="14" spans="1:6" ht="26.4" x14ac:dyDescent="0.3">
      <c r="A14" s="19">
        <v>9</v>
      </c>
      <c r="B14" s="20" t="s">
        <v>108</v>
      </c>
      <c r="C14" s="19" t="s">
        <v>223</v>
      </c>
      <c r="D14" s="19" t="s">
        <v>224</v>
      </c>
      <c r="E14" s="19" t="s">
        <v>68</v>
      </c>
      <c r="F14" s="23"/>
    </row>
    <row r="15" spans="1:6" ht="26.4" x14ac:dyDescent="0.3">
      <c r="A15" s="21">
        <v>10</v>
      </c>
      <c r="B15" s="22" t="s">
        <v>171</v>
      </c>
      <c r="C15" s="21" t="s">
        <v>225</v>
      </c>
      <c r="D15" s="21" t="s">
        <v>226</v>
      </c>
      <c r="E15" s="21" t="s">
        <v>68</v>
      </c>
      <c r="F15" s="23"/>
    </row>
    <row r="16" spans="1:6" ht="39.6" x14ac:dyDescent="0.3">
      <c r="A16" s="19">
        <v>11</v>
      </c>
      <c r="B16" s="20" t="s">
        <v>227</v>
      </c>
      <c r="C16" s="19" t="s">
        <v>228</v>
      </c>
      <c r="D16" s="19" t="s">
        <v>229</v>
      </c>
      <c r="E16" s="19" t="s">
        <v>68</v>
      </c>
      <c r="F16" s="23"/>
    </row>
  </sheetData>
  <mergeCells count="2">
    <mergeCell ref="B2:F2"/>
    <mergeCell ref="B1:F1"/>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24638"/>
  </sheetPr>
  <dimension ref="A1:AA66"/>
  <sheetViews>
    <sheetView showGridLines="0" zoomScale="90" workbookViewId="0">
      <pane xSplit="2" ySplit="5" topLeftCell="C6" activePane="bottomRight" state="frozen"/>
      <selection pane="topRight"/>
      <selection pane="bottomLeft"/>
      <selection pane="bottomRight"/>
    </sheetView>
  </sheetViews>
  <sheetFormatPr defaultRowHeight="14.4" x14ac:dyDescent="0.3"/>
  <cols>
    <col min="1" max="1" width="14" customWidth="1"/>
    <col min="2" max="2" width="28" customWidth="1"/>
    <col min="3" max="3" width="22" customWidth="1"/>
    <col min="4" max="4" width="30" customWidth="1"/>
    <col min="5" max="5" width="14" customWidth="1"/>
    <col min="6" max="7" width="30" customWidth="1"/>
    <col min="8" max="8" width="22" customWidth="1"/>
    <col min="9" max="9" width="9" customWidth="1"/>
    <col min="10" max="10" width="15" customWidth="1"/>
    <col min="11" max="11" width="26" customWidth="1"/>
    <col min="12" max="12" width="13" customWidth="1"/>
    <col min="13" max="13" width="22" customWidth="1"/>
    <col min="14" max="14" width="26" customWidth="1"/>
    <col min="15" max="15" width="16" customWidth="1"/>
    <col min="16" max="16" width="22" customWidth="1"/>
    <col min="17" max="17" width="26" customWidth="1"/>
    <col min="18" max="19" width="16" customWidth="1"/>
    <col min="20" max="20" width="22" customWidth="1"/>
    <col min="21" max="21" width="26" customWidth="1"/>
    <col min="22" max="23" width="16" customWidth="1"/>
    <col min="24" max="24" width="22" customWidth="1"/>
    <col min="25" max="25" width="26" customWidth="1"/>
    <col min="26" max="26" width="16" customWidth="1"/>
    <col min="27" max="27" width="30" customWidth="1"/>
  </cols>
  <sheetData>
    <row r="1" spans="1:27" ht="43.95" customHeight="1" x14ac:dyDescent="0.3">
      <c r="B1" s="30" t="s">
        <v>230</v>
      </c>
      <c r="C1" s="31"/>
      <c r="D1" s="31"/>
      <c r="E1" s="31"/>
      <c r="F1" s="31"/>
      <c r="G1" s="31"/>
      <c r="H1" s="31"/>
      <c r="I1" s="31"/>
      <c r="J1" s="31"/>
      <c r="K1" s="31"/>
      <c r="L1" s="31"/>
      <c r="M1" s="31"/>
      <c r="N1" s="31"/>
      <c r="O1" s="31"/>
      <c r="P1" s="31"/>
      <c r="Q1" s="31"/>
      <c r="R1" s="31"/>
      <c r="S1" s="31"/>
      <c r="T1" s="31"/>
      <c r="U1" s="31"/>
      <c r="V1" s="31"/>
      <c r="W1" s="31"/>
      <c r="X1" s="31"/>
      <c r="Y1" s="31"/>
      <c r="Z1" s="31"/>
      <c r="AA1" s="31"/>
    </row>
    <row r="2" spans="1:27" ht="22.05" customHeight="1" x14ac:dyDescent="0.3">
      <c r="B2" s="34" t="s">
        <v>231</v>
      </c>
      <c r="C2" s="31"/>
      <c r="D2" s="31"/>
      <c r="E2" s="31"/>
      <c r="F2" s="31"/>
      <c r="G2" s="31"/>
      <c r="H2" s="31"/>
      <c r="I2" s="31"/>
      <c r="J2" s="31"/>
      <c r="K2" s="31"/>
      <c r="L2" s="31"/>
      <c r="M2" s="31"/>
      <c r="N2" s="31"/>
      <c r="O2" s="31"/>
      <c r="P2" s="31"/>
      <c r="Q2" s="31"/>
      <c r="R2" s="31"/>
      <c r="S2" s="31"/>
      <c r="T2" s="31"/>
      <c r="U2" s="31"/>
      <c r="V2" s="31"/>
      <c r="W2" s="31"/>
      <c r="X2" s="31"/>
      <c r="Y2" s="31"/>
      <c r="Z2" s="31"/>
      <c r="AA2" s="31"/>
    </row>
    <row r="4" spans="1:27" x14ac:dyDescent="0.3">
      <c r="A4" s="9" t="s">
        <v>232</v>
      </c>
    </row>
    <row r="5" spans="1:27" ht="34.049999999999997" customHeight="1" x14ac:dyDescent="0.3">
      <c r="A5" s="10" t="s">
        <v>233</v>
      </c>
      <c r="B5" s="10" t="s">
        <v>234</v>
      </c>
      <c r="C5" s="10" t="s">
        <v>235</v>
      </c>
      <c r="D5" s="10" t="s">
        <v>236</v>
      </c>
      <c r="E5" s="10" t="s">
        <v>237</v>
      </c>
      <c r="F5" s="10" t="s">
        <v>238</v>
      </c>
      <c r="G5" s="10" t="s">
        <v>239</v>
      </c>
      <c r="H5" s="10" t="s">
        <v>240</v>
      </c>
      <c r="I5" s="10" t="s">
        <v>241</v>
      </c>
      <c r="J5" s="10" t="s">
        <v>242</v>
      </c>
      <c r="K5" s="10" t="s">
        <v>243</v>
      </c>
      <c r="L5" s="10" t="s">
        <v>244</v>
      </c>
      <c r="M5" s="10" t="s">
        <v>245</v>
      </c>
      <c r="N5" s="10" t="s">
        <v>246</v>
      </c>
      <c r="O5" s="10" t="s">
        <v>247</v>
      </c>
      <c r="P5" s="10" t="s">
        <v>248</v>
      </c>
      <c r="Q5" s="10" t="s">
        <v>249</v>
      </c>
      <c r="R5" s="10" t="s">
        <v>250</v>
      </c>
      <c r="S5" s="10" t="s">
        <v>251</v>
      </c>
      <c r="T5" s="10" t="s">
        <v>252</v>
      </c>
      <c r="U5" s="10" t="s">
        <v>253</v>
      </c>
      <c r="V5" s="10" t="s">
        <v>254</v>
      </c>
      <c r="W5" s="10" t="s">
        <v>255</v>
      </c>
      <c r="X5" s="10" t="s">
        <v>256</v>
      </c>
      <c r="Y5" s="10" t="s">
        <v>257</v>
      </c>
      <c r="Z5" s="10" t="s">
        <v>258</v>
      </c>
      <c r="AA5" s="10" t="s">
        <v>259</v>
      </c>
    </row>
    <row r="6" spans="1:27" ht="52.8" x14ac:dyDescent="0.3">
      <c r="A6" s="11" t="s">
        <v>260</v>
      </c>
      <c r="B6" s="11" t="s">
        <v>261</v>
      </c>
      <c r="C6" s="11" t="s">
        <v>262</v>
      </c>
      <c r="D6" s="11" t="s">
        <v>263</v>
      </c>
      <c r="E6" s="11" t="s">
        <v>264</v>
      </c>
      <c r="F6" s="11" t="s">
        <v>265</v>
      </c>
      <c r="G6" s="11" t="s">
        <v>266</v>
      </c>
      <c r="H6" s="11" t="s">
        <v>267</v>
      </c>
      <c r="I6" s="11">
        <v>2</v>
      </c>
      <c r="J6" s="11" t="s">
        <v>268</v>
      </c>
      <c r="K6" s="11" t="s">
        <v>269</v>
      </c>
      <c r="L6" s="25">
        <v>0.75</v>
      </c>
      <c r="M6" s="11" t="s">
        <v>270</v>
      </c>
      <c r="N6" s="11"/>
      <c r="O6" s="11">
        <v>0</v>
      </c>
      <c r="P6" s="11" t="s">
        <v>271</v>
      </c>
      <c r="Q6" s="11" t="s">
        <v>272</v>
      </c>
      <c r="R6" s="11" t="s">
        <v>273</v>
      </c>
      <c r="S6" s="11">
        <v>1</v>
      </c>
      <c r="T6" s="11"/>
      <c r="U6" s="11"/>
      <c r="V6" s="11"/>
      <c r="W6" s="11"/>
      <c r="X6" s="11"/>
      <c r="Y6" s="11"/>
      <c r="Z6" s="11"/>
      <c r="AA6" s="11" t="s">
        <v>274</v>
      </c>
    </row>
    <row r="7" spans="1:27" ht="26.4" x14ac:dyDescent="0.3">
      <c r="A7" s="13" t="str">
        <f t="shared" ref="A7:A38" si="0">IF(B7="","","SLA-"&amp;TEXT(ROW()-5,"00"))</f>
        <v>SLA-02</v>
      </c>
      <c r="B7" s="26" t="s">
        <v>275</v>
      </c>
      <c r="C7" s="26" t="s">
        <v>276</v>
      </c>
      <c r="D7" s="26" t="s">
        <v>263</v>
      </c>
      <c r="E7" s="26" t="s">
        <v>264</v>
      </c>
      <c r="F7" s="26" t="s">
        <v>277</v>
      </c>
      <c r="G7" s="26" t="s">
        <v>278</v>
      </c>
      <c r="H7" s="26" t="s">
        <v>267</v>
      </c>
      <c r="I7" s="26">
        <v>2</v>
      </c>
      <c r="J7" s="26" t="s">
        <v>268</v>
      </c>
      <c r="K7" s="26" t="s">
        <v>269</v>
      </c>
      <c r="L7" s="27"/>
      <c r="M7" s="26"/>
      <c r="N7" s="26"/>
      <c r="O7" s="26">
        <v>0</v>
      </c>
      <c r="P7" s="26" t="s">
        <v>271</v>
      </c>
      <c r="Q7" s="26" t="s">
        <v>272</v>
      </c>
      <c r="R7" s="26" t="s">
        <v>273</v>
      </c>
      <c r="S7" s="26"/>
      <c r="T7" s="26"/>
      <c r="U7" s="26"/>
      <c r="V7" s="26"/>
      <c r="W7" s="26"/>
      <c r="X7" s="26"/>
      <c r="Y7" s="26"/>
      <c r="Z7" s="26"/>
      <c r="AA7" s="26" t="s">
        <v>279</v>
      </c>
    </row>
    <row r="8" spans="1:27" x14ac:dyDescent="0.3">
      <c r="A8" s="13" t="str">
        <f t="shared" si="0"/>
        <v/>
      </c>
      <c r="B8" s="14"/>
      <c r="C8" s="14"/>
      <c r="D8" s="14"/>
      <c r="E8" s="14"/>
      <c r="F8" s="14"/>
      <c r="G8" s="14"/>
      <c r="H8" s="14"/>
      <c r="I8" s="14"/>
      <c r="J8" s="14"/>
      <c r="K8" s="14"/>
      <c r="L8" s="28"/>
      <c r="M8" s="14"/>
      <c r="N8" s="14"/>
      <c r="O8" s="14"/>
      <c r="P8" s="14"/>
      <c r="Q8" s="14"/>
      <c r="R8" s="14"/>
      <c r="S8" s="14"/>
      <c r="T8" s="14"/>
      <c r="U8" s="14"/>
      <c r="V8" s="14"/>
      <c r="W8" s="14"/>
      <c r="X8" s="14"/>
      <c r="Y8" s="14"/>
      <c r="Z8" s="14"/>
      <c r="AA8" s="14"/>
    </row>
    <row r="9" spans="1:27" x14ac:dyDescent="0.3">
      <c r="A9" s="13" t="str">
        <f t="shared" si="0"/>
        <v/>
      </c>
      <c r="B9" s="14"/>
      <c r="C9" s="14"/>
      <c r="D9" s="14"/>
      <c r="E9" s="14"/>
      <c r="F9" s="14"/>
      <c r="G9" s="14"/>
      <c r="H9" s="14"/>
      <c r="I9" s="14"/>
      <c r="J9" s="14"/>
      <c r="K9" s="14"/>
      <c r="L9" s="28"/>
      <c r="M9" s="14"/>
      <c r="N9" s="14"/>
      <c r="O9" s="14"/>
      <c r="P9" s="14"/>
      <c r="Q9" s="14"/>
      <c r="R9" s="14"/>
      <c r="S9" s="14"/>
      <c r="T9" s="14"/>
      <c r="U9" s="14"/>
      <c r="V9" s="14"/>
      <c r="W9" s="14"/>
      <c r="X9" s="14"/>
      <c r="Y9" s="14"/>
      <c r="Z9" s="14"/>
      <c r="AA9" s="14"/>
    </row>
    <row r="10" spans="1:27" x14ac:dyDescent="0.3">
      <c r="A10" s="13" t="str">
        <f t="shared" si="0"/>
        <v/>
      </c>
      <c r="B10" s="14"/>
      <c r="C10" s="14"/>
      <c r="D10" s="14"/>
      <c r="E10" s="14"/>
      <c r="F10" s="14"/>
      <c r="G10" s="14"/>
      <c r="H10" s="14"/>
      <c r="I10" s="14"/>
      <c r="J10" s="14"/>
      <c r="K10" s="14"/>
      <c r="L10" s="28"/>
      <c r="M10" s="14"/>
      <c r="N10" s="14"/>
      <c r="O10" s="14"/>
      <c r="P10" s="14"/>
      <c r="Q10" s="14"/>
      <c r="R10" s="14"/>
      <c r="S10" s="14"/>
      <c r="T10" s="14"/>
      <c r="U10" s="14"/>
      <c r="V10" s="14"/>
      <c r="W10" s="14"/>
      <c r="X10" s="14"/>
      <c r="Y10" s="14"/>
      <c r="Z10" s="14"/>
      <c r="AA10" s="14"/>
    </row>
    <row r="11" spans="1:27" x14ac:dyDescent="0.3">
      <c r="A11" s="13" t="str">
        <f t="shared" si="0"/>
        <v/>
      </c>
      <c r="B11" s="14"/>
      <c r="C11" s="14"/>
      <c r="D11" s="14"/>
      <c r="E11" s="14"/>
      <c r="F11" s="14"/>
      <c r="G11" s="14"/>
      <c r="H11" s="14"/>
      <c r="I11" s="14"/>
      <c r="J11" s="14"/>
      <c r="K11" s="14"/>
      <c r="L11" s="28"/>
      <c r="M11" s="14"/>
      <c r="N11" s="14"/>
      <c r="O11" s="14"/>
      <c r="P11" s="14"/>
      <c r="Q11" s="14"/>
      <c r="R11" s="14"/>
      <c r="S11" s="14"/>
      <c r="T11" s="14"/>
      <c r="U11" s="14"/>
      <c r="V11" s="14"/>
      <c r="W11" s="14"/>
      <c r="X11" s="14"/>
      <c r="Y11" s="14"/>
      <c r="Z11" s="14"/>
      <c r="AA11" s="14"/>
    </row>
    <row r="12" spans="1:27" x14ac:dyDescent="0.3">
      <c r="A12" s="13" t="str">
        <f t="shared" si="0"/>
        <v/>
      </c>
      <c r="B12" s="14"/>
      <c r="C12" s="14"/>
      <c r="D12" s="14"/>
      <c r="E12" s="14"/>
      <c r="F12" s="14"/>
      <c r="G12" s="14"/>
      <c r="H12" s="14"/>
      <c r="I12" s="14"/>
      <c r="J12" s="14"/>
      <c r="K12" s="14"/>
      <c r="L12" s="28"/>
      <c r="M12" s="14"/>
      <c r="N12" s="14"/>
      <c r="O12" s="14"/>
      <c r="P12" s="14"/>
      <c r="Q12" s="14"/>
      <c r="R12" s="14"/>
      <c r="S12" s="14"/>
      <c r="T12" s="14"/>
      <c r="U12" s="14"/>
      <c r="V12" s="14"/>
      <c r="W12" s="14"/>
      <c r="X12" s="14"/>
      <c r="Y12" s="14"/>
      <c r="Z12" s="14"/>
      <c r="AA12" s="14"/>
    </row>
    <row r="13" spans="1:27" x14ac:dyDescent="0.3">
      <c r="A13" s="13" t="str">
        <f t="shared" si="0"/>
        <v/>
      </c>
      <c r="B13" s="14"/>
      <c r="C13" s="14"/>
      <c r="D13" s="14"/>
      <c r="E13" s="14"/>
      <c r="F13" s="14"/>
      <c r="G13" s="14"/>
      <c r="H13" s="14"/>
      <c r="I13" s="14"/>
      <c r="J13" s="14"/>
      <c r="K13" s="14"/>
      <c r="L13" s="28"/>
      <c r="M13" s="14"/>
      <c r="N13" s="14"/>
      <c r="O13" s="14"/>
      <c r="P13" s="14"/>
      <c r="Q13" s="14"/>
      <c r="R13" s="14"/>
      <c r="S13" s="14"/>
      <c r="T13" s="14"/>
      <c r="U13" s="14"/>
      <c r="V13" s="14"/>
      <c r="W13" s="14"/>
      <c r="X13" s="14"/>
      <c r="Y13" s="14"/>
      <c r="Z13" s="14"/>
      <c r="AA13" s="14"/>
    </row>
    <row r="14" spans="1:27" x14ac:dyDescent="0.3">
      <c r="A14" s="13" t="str">
        <f t="shared" si="0"/>
        <v/>
      </c>
      <c r="B14" s="14"/>
      <c r="C14" s="14"/>
      <c r="D14" s="14"/>
      <c r="E14" s="14"/>
      <c r="F14" s="14"/>
      <c r="G14" s="14"/>
      <c r="H14" s="14"/>
      <c r="I14" s="14"/>
      <c r="J14" s="14"/>
      <c r="K14" s="14"/>
      <c r="L14" s="28"/>
      <c r="M14" s="14"/>
      <c r="N14" s="14"/>
      <c r="O14" s="14"/>
      <c r="P14" s="14"/>
      <c r="Q14" s="14"/>
      <c r="R14" s="14"/>
      <c r="S14" s="14"/>
      <c r="T14" s="14"/>
      <c r="U14" s="14"/>
      <c r="V14" s="14"/>
      <c r="W14" s="14"/>
      <c r="X14" s="14"/>
      <c r="Y14" s="14"/>
      <c r="Z14" s="14"/>
      <c r="AA14" s="14"/>
    </row>
    <row r="15" spans="1:27" x14ac:dyDescent="0.3">
      <c r="A15" s="13" t="str">
        <f t="shared" si="0"/>
        <v/>
      </c>
      <c r="B15" s="14"/>
      <c r="C15" s="14"/>
      <c r="D15" s="14"/>
      <c r="E15" s="14"/>
      <c r="F15" s="14"/>
      <c r="G15" s="14"/>
      <c r="H15" s="14"/>
      <c r="I15" s="14"/>
      <c r="J15" s="14"/>
      <c r="K15" s="14"/>
      <c r="L15" s="28"/>
      <c r="M15" s="14"/>
      <c r="N15" s="14"/>
      <c r="O15" s="14"/>
      <c r="P15" s="14"/>
      <c r="Q15" s="14"/>
      <c r="R15" s="14"/>
      <c r="S15" s="14"/>
      <c r="T15" s="14"/>
      <c r="U15" s="14"/>
      <c r="V15" s="14"/>
      <c r="W15" s="14"/>
      <c r="X15" s="14"/>
      <c r="Y15" s="14"/>
      <c r="Z15" s="14"/>
      <c r="AA15" s="14"/>
    </row>
    <row r="16" spans="1:27" x14ac:dyDescent="0.3">
      <c r="A16" s="13" t="str">
        <f t="shared" si="0"/>
        <v/>
      </c>
      <c r="B16" s="14"/>
      <c r="C16" s="14"/>
      <c r="D16" s="14"/>
      <c r="E16" s="14"/>
      <c r="F16" s="14"/>
      <c r="G16" s="14"/>
      <c r="H16" s="14"/>
      <c r="I16" s="14"/>
      <c r="J16" s="14"/>
      <c r="K16" s="14"/>
      <c r="L16" s="28"/>
      <c r="M16" s="14"/>
      <c r="N16" s="14"/>
      <c r="O16" s="14"/>
      <c r="P16" s="14"/>
      <c r="Q16" s="14"/>
      <c r="R16" s="14"/>
      <c r="S16" s="14"/>
      <c r="T16" s="14"/>
      <c r="U16" s="14"/>
      <c r="V16" s="14"/>
      <c r="W16" s="14"/>
      <c r="X16" s="14"/>
      <c r="Y16" s="14"/>
      <c r="Z16" s="14"/>
      <c r="AA16" s="14"/>
    </row>
    <row r="17" spans="1:27" x14ac:dyDescent="0.3">
      <c r="A17" s="13" t="str">
        <f t="shared" si="0"/>
        <v/>
      </c>
      <c r="B17" s="14"/>
      <c r="C17" s="14"/>
      <c r="D17" s="14"/>
      <c r="E17" s="14"/>
      <c r="F17" s="14"/>
      <c r="G17" s="14"/>
      <c r="H17" s="14"/>
      <c r="I17" s="14"/>
      <c r="J17" s="14"/>
      <c r="K17" s="14"/>
      <c r="L17" s="28"/>
      <c r="M17" s="14"/>
      <c r="N17" s="14"/>
      <c r="O17" s="14"/>
      <c r="P17" s="14"/>
      <c r="Q17" s="14"/>
      <c r="R17" s="14"/>
      <c r="S17" s="14"/>
      <c r="T17" s="14"/>
      <c r="U17" s="14"/>
      <c r="V17" s="14"/>
      <c r="W17" s="14"/>
      <c r="X17" s="14"/>
      <c r="Y17" s="14"/>
      <c r="Z17" s="14"/>
      <c r="AA17" s="14"/>
    </row>
    <row r="18" spans="1:27" x14ac:dyDescent="0.3">
      <c r="A18" s="13" t="str">
        <f t="shared" si="0"/>
        <v/>
      </c>
      <c r="B18" s="14"/>
      <c r="C18" s="14"/>
      <c r="D18" s="14"/>
      <c r="E18" s="14"/>
      <c r="F18" s="14"/>
      <c r="G18" s="14"/>
      <c r="H18" s="14"/>
      <c r="I18" s="14"/>
      <c r="J18" s="14"/>
      <c r="K18" s="14"/>
      <c r="L18" s="28"/>
      <c r="M18" s="14"/>
      <c r="N18" s="14"/>
      <c r="O18" s="14"/>
      <c r="P18" s="14"/>
      <c r="Q18" s="14"/>
      <c r="R18" s="14"/>
      <c r="S18" s="14"/>
      <c r="T18" s="14"/>
      <c r="U18" s="14"/>
      <c r="V18" s="14"/>
      <c r="W18" s="14"/>
      <c r="X18" s="14"/>
      <c r="Y18" s="14"/>
      <c r="Z18" s="14"/>
      <c r="AA18" s="14"/>
    </row>
    <row r="19" spans="1:27" x14ac:dyDescent="0.3">
      <c r="A19" s="13" t="str">
        <f t="shared" si="0"/>
        <v/>
      </c>
      <c r="B19" s="14"/>
      <c r="C19" s="14"/>
      <c r="D19" s="14"/>
      <c r="E19" s="14"/>
      <c r="F19" s="14"/>
      <c r="G19" s="14"/>
      <c r="H19" s="14"/>
      <c r="I19" s="14"/>
      <c r="J19" s="14"/>
      <c r="K19" s="14"/>
      <c r="L19" s="28"/>
      <c r="M19" s="14"/>
      <c r="N19" s="14"/>
      <c r="O19" s="14"/>
      <c r="P19" s="14"/>
      <c r="Q19" s="14"/>
      <c r="R19" s="14"/>
      <c r="S19" s="14"/>
      <c r="T19" s="14"/>
      <c r="U19" s="14"/>
      <c r="V19" s="14"/>
      <c r="W19" s="14"/>
      <c r="X19" s="14"/>
      <c r="Y19" s="14"/>
      <c r="Z19" s="14"/>
      <c r="AA19" s="14"/>
    </row>
    <row r="20" spans="1:27" x14ac:dyDescent="0.3">
      <c r="A20" s="13" t="str">
        <f t="shared" si="0"/>
        <v/>
      </c>
      <c r="B20" s="14"/>
      <c r="C20" s="14"/>
      <c r="D20" s="14"/>
      <c r="E20" s="14"/>
      <c r="F20" s="14"/>
      <c r="G20" s="14"/>
      <c r="H20" s="14"/>
      <c r="I20" s="14"/>
      <c r="J20" s="14"/>
      <c r="K20" s="14"/>
      <c r="L20" s="28"/>
      <c r="M20" s="14"/>
      <c r="N20" s="14"/>
      <c r="O20" s="14"/>
      <c r="P20" s="14"/>
      <c r="Q20" s="14"/>
      <c r="R20" s="14"/>
      <c r="S20" s="14"/>
      <c r="T20" s="14"/>
      <c r="U20" s="14"/>
      <c r="V20" s="14"/>
      <c r="W20" s="14"/>
      <c r="X20" s="14"/>
      <c r="Y20" s="14"/>
      <c r="Z20" s="14"/>
      <c r="AA20" s="14"/>
    </row>
    <row r="21" spans="1:27" x14ac:dyDescent="0.3">
      <c r="A21" s="13" t="str">
        <f t="shared" si="0"/>
        <v/>
      </c>
      <c r="B21" s="14"/>
      <c r="C21" s="14"/>
      <c r="D21" s="14"/>
      <c r="E21" s="14"/>
      <c r="F21" s="14"/>
      <c r="G21" s="14"/>
      <c r="H21" s="14"/>
      <c r="I21" s="14"/>
      <c r="J21" s="14"/>
      <c r="K21" s="14"/>
      <c r="L21" s="28"/>
      <c r="M21" s="14"/>
      <c r="N21" s="14"/>
      <c r="O21" s="14"/>
      <c r="P21" s="14"/>
      <c r="Q21" s="14"/>
      <c r="R21" s="14"/>
      <c r="S21" s="14"/>
      <c r="T21" s="14"/>
      <c r="U21" s="14"/>
      <c r="V21" s="14"/>
      <c r="W21" s="14"/>
      <c r="X21" s="14"/>
      <c r="Y21" s="14"/>
      <c r="Z21" s="14"/>
      <c r="AA21" s="14"/>
    </row>
    <row r="22" spans="1:27" x14ac:dyDescent="0.3">
      <c r="A22" s="13" t="str">
        <f t="shared" si="0"/>
        <v/>
      </c>
      <c r="B22" s="14"/>
      <c r="C22" s="14"/>
      <c r="D22" s="14"/>
      <c r="E22" s="14"/>
      <c r="F22" s="14"/>
      <c r="G22" s="14"/>
      <c r="H22" s="14"/>
      <c r="I22" s="14"/>
      <c r="J22" s="14"/>
      <c r="K22" s="14"/>
      <c r="L22" s="28"/>
      <c r="M22" s="14"/>
      <c r="N22" s="14"/>
      <c r="O22" s="14"/>
      <c r="P22" s="14"/>
      <c r="Q22" s="14"/>
      <c r="R22" s="14"/>
      <c r="S22" s="14"/>
      <c r="T22" s="14"/>
      <c r="U22" s="14"/>
      <c r="V22" s="14"/>
      <c r="W22" s="14"/>
      <c r="X22" s="14"/>
      <c r="Y22" s="14"/>
      <c r="Z22" s="14"/>
      <c r="AA22" s="14"/>
    </row>
    <row r="23" spans="1:27" x14ac:dyDescent="0.3">
      <c r="A23" s="13" t="str">
        <f t="shared" si="0"/>
        <v/>
      </c>
      <c r="B23" s="14"/>
      <c r="C23" s="14"/>
      <c r="D23" s="14"/>
      <c r="E23" s="14"/>
      <c r="F23" s="14"/>
      <c r="G23" s="14"/>
      <c r="H23" s="14"/>
      <c r="I23" s="14"/>
      <c r="J23" s="14"/>
      <c r="K23" s="14"/>
      <c r="L23" s="28"/>
      <c r="M23" s="14"/>
      <c r="N23" s="14"/>
      <c r="O23" s="14"/>
      <c r="P23" s="14"/>
      <c r="Q23" s="14"/>
      <c r="R23" s="14"/>
      <c r="S23" s="14"/>
      <c r="T23" s="14"/>
      <c r="U23" s="14"/>
      <c r="V23" s="14"/>
      <c r="W23" s="14"/>
      <c r="X23" s="14"/>
      <c r="Y23" s="14"/>
      <c r="Z23" s="14"/>
      <c r="AA23" s="14"/>
    </row>
    <row r="24" spans="1:27" x14ac:dyDescent="0.3">
      <c r="A24" s="13" t="str">
        <f t="shared" si="0"/>
        <v/>
      </c>
      <c r="B24" s="14"/>
      <c r="C24" s="14"/>
      <c r="D24" s="14"/>
      <c r="E24" s="14"/>
      <c r="F24" s="14"/>
      <c r="G24" s="14"/>
      <c r="H24" s="14"/>
      <c r="I24" s="14"/>
      <c r="J24" s="14"/>
      <c r="K24" s="14"/>
      <c r="L24" s="28"/>
      <c r="M24" s="14"/>
      <c r="N24" s="14"/>
      <c r="O24" s="14"/>
      <c r="P24" s="14"/>
      <c r="Q24" s="14"/>
      <c r="R24" s="14"/>
      <c r="S24" s="14"/>
      <c r="T24" s="14"/>
      <c r="U24" s="14"/>
      <c r="V24" s="14"/>
      <c r="W24" s="14"/>
      <c r="X24" s="14"/>
      <c r="Y24" s="14"/>
      <c r="Z24" s="14"/>
      <c r="AA24" s="14"/>
    </row>
    <row r="25" spans="1:27" x14ac:dyDescent="0.3">
      <c r="A25" s="13" t="str">
        <f t="shared" si="0"/>
        <v/>
      </c>
      <c r="B25" s="14"/>
      <c r="C25" s="14"/>
      <c r="D25" s="14"/>
      <c r="E25" s="14"/>
      <c r="F25" s="14"/>
      <c r="G25" s="14"/>
      <c r="H25" s="14"/>
      <c r="I25" s="14"/>
      <c r="J25" s="14"/>
      <c r="K25" s="14"/>
      <c r="L25" s="28"/>
      <c r="M25" s="14"/>
      <c r="N25" s="14"/>
      <c r="O25" s="14"/>
      <c r="P25" s="14"/>
      <c r="Q25" s="14"/>
      <c r="R25" s="14"/>
      <c r="S25" s="14"/>
      <c r="T25" s="14"/>
      <c r="U25" s="14"/>
      <c r="V25" s="14"/>
      <c r="W25" s="14"/>
      <c r="X25" s="14"/>
      <c r="Y25" s="14"/>
      <c r="Z25" s="14"/>
      <c r="AA25" s="14"/>
    </row>
    <row r="26" spans="1:27" x14ac:dyDescent="0.3">
      <c r="A26" s="13" t="str">
        <f t="shared" si="0"/>
        <v/>
      </c>
      <c r="B26" s="14"/>
      <c r="C26" s="14"/>
      <c r="D26" s="14"/>
      <c r="E26" s="14"/>
      <c r="F26" s="14"/>
      <c r="G26" s="14"/>
      <c r="H26" s="14"/>
      <c r="I26" s="14"/>
      <c r="J26" s="14"/>
      <c r="K26" s="14"/>
      <c r="L26" s="28"/>
      <c r="M26" s="14"/>
      <c r="N26" s="14"/>
      <c r="O26" s="14"/>
      <c r="P26" s="14"/>
      <c r="Q26" s="14"/>
      <c r="R26" s="14"/>
      <c r="S26" s="14"/>
      <c r="T26" s="14"/>
      <c r="U26" s="14"/>
      <c r="V26" s="14"/>
      <c r="W26" s="14"/>
      <c r="X26" s="14"/>
      <c r="Y26" s="14"/>
      <c r="Z26" s="14"/>
      <c r="AA26" s="14"/>
    </row>
    <row r="27" spans="1:27" x14ac:dyDescent="0.3">
      <c r="A27" s="13" t="str">
        <f t="shared" si="0"/>
        <v/>
      </c>
      <c r="B27" s="14"/>
      <c r="C27" s="14"/>
      <c r="D27" s="14"/>
      <c r="E27" s="14"/>
      <c r="F27" s="14"/>
      <c r="G27" s="14"/>
      <c r="H27" s="14"/>
      <c r="I27" s="14"/>
      <c r="J27" s="14"/>
      <c r="K27" s="14"/>
      <c r="L27" s="28"/>
      <c r="M27" s="14"/>
      <c r="N27" s="14"/>
      <c r="O27" s="14"/>
      <c r="P27" s="14"/>
      <c r="Q27" s="14"/>
      <c r="R27" s="14"/>
      <c r="S27" s="14"/>
      <c r="T27" s="14"/>
      <c r="U27" s="14"/>
      <c r="V27" s="14"/>
      <c r="W27" s="14"/>
      <c r="X27" s="14"/>
      <c r="Y27" s="14"/>
      <c r="Z27" s="14"/>
      <c r="AA27" s="14"/>
    </row>
    <row r="28" spans="1:27" x14ac:dyDescent="0.3">
      <c r="A28" s="13" t="str">
        <f t="shared" si="0"/>
        <v/>
      </c>
      <c r="B28" s="14"/>
      <c r="C28" s="14"/>
      <c r="D28" s="14"/>
      <c r="E28" s="14"/>
      <c r="F28" s="14"/>
      <c r="G28" s="14"/>
      <c r="H28" s="14"/>
      <c r="I28" s="14"/>
      <c r="J28" s="14"/>
      <c r="K28" s="14"/>
      <c r="L28" s="28"/>
      <c r="M28" s="14"/>
      <c r="N28" s="14"/>
      <c r="O28" s="14"/>
      <c r="P28" s="14"/>
      <c r="Q28" s="14"/>
      <c r="R28" s="14"/>
      <c r="S28" s="14"/>
      <c r="T28" s="14"/>
      <c r="U28" s="14"/>
      <c r="V28" s="14"/>
      <c r="W28" s="14"/>
      <c r="X28" s="14"/>
      <c r="Y28" s="14"/>
      <c r="Z28" s="14"/>
      <c r="AA28" s="14"/>
    </row>
    <row r="29" spans="1:27" x14ac:dyDescent="0.3">
      <c r="A29" s="13" t="str">
        <f t="shared" si="0"/>
        <v/>
      </c>
      <c r="B29" s="14"/>
      <c r="C29" s="14"/>
      <c r="D29" s="14"/>
      <c r="E29" s="14"/>
      <c r="F29" s="14"/>
      <c r="G29" s="14"/>
      <c r="H29" s="14"/>
      <c r="I29" s="14"/>
      <c r="J29" s="14"/>
      <c r="K29" s="14"/>
      <c r="L29" s="28"/>
      <c r="M29" s="14"/>
      <c r="N29" s="14"/>
      <c r="O29" s="14"/>
      <c r="P29" s="14"/>
      <c r="Q29" s="14"/>
      <c r="R29" s="14"/>
      <c r="S29" s="14"/>
      <c r="T29" s="14"/>
      <c r="U29" s="14"/>
      <c r="V29" s="14"/>
      <c r="W29" s="14"/>
      <c r="X29" s="14"/>
      <c r="Y29" s="14"/>
      <c r="Z29" s="14"/>
      <c r="AA29" s="14"/>
    </row>
    <row r="30" spans="1:27" x14ac:dyDescent="0.3">
      <c r="A30" s="13" t="str">
        <f t="shared" si="0"/>
        <v/>
      </c>
      <c r="B30" s="14"/>
      <c r="C30" s="14"/>
      <c r="D30" s="14"/>
      <c r="E30" s="14"/>
      <c r="F30" s="14"/>
      <c r="G30" s="14"/>
      <c r="H30" s="14"/>
      <c r="I30" s="14"/>
      <c r="J30" s="14"/>
      <c r="K30" s="14"/>
      <c r="L30" s="28"/>
      <c r="M30" s="14"/>
      <c r="N30" s="14"/>
      <c r="O30" s="14"/>
      <c r="P30" s="14"/>
      <c r="Q30" s="14"/>
      <c r="R30" s="14"/>
      <c r="S30" s="14"/>
      <c r="T30" s="14"/>
      <c r="U30" s="14"/>
      <c r="V30" s="14"/>
      <c r="W30" s="14"/>
      <c r="X30" s="14"/>
      <c r="Y30" s="14"/>
      <c r="Z30" s="14"/>
      <c r="AA30" s="14"/>
    </row>
    <row r="31" spans="1:27" x14ac:dyDescent="0.3">
      <c r="A31" s="13" t="str">
        <f t="shared" si="0"/>
        <v/>
      </c>
      <c r="B31" s="14"/>
      <c r="C31" s="14"/>
      <c r="D31" s="14"/>
      <c r="E31" s="14"/>
      <c r="F31" s="14"/>
      <c r="G31" s="14"/>
      <c r="H31" s="14"/>
      <c r="I31" s="14"/>
      <c r="J31" s="14"/>
      <c r="K31" s="14"/>
      <c r="L31" s="28"/>
      <c r="M31" s="14"/>
      <c r="N31" s="14"/>
      <c r="O31" s="14"/>
      <c r="P31" s="14"/>
      <c r="Q31" s="14"/>
      <c r="R31" s="14"/>
      <c r="S31" s="14"/>
      <c r="T31" s="14"/>
      <c r="U31" s="14"/>
      <c r="V31" s="14"/>
      <c r="W31" s="14"/>
      <c r="X31" s="14"/>
      <c r="Y31" s="14"/>
      <c r="Z31" s="14"/>
      <c r="AA31" s="14"/>
    </row>
    <row r="32" spans="1:27" x14ac:dyDescent="0.3">
      <c r="A32" s="13" t="str">
        <f t="shared" si="0"/>
        <v/>
      </c>
      <c r="B32" s="14"/>
      <c r="C32" s="14"/>
      <c r="D32" s="14"/>
      <c r="E32" s="14"/>
      <c r="F32" s="14"/>
      <c r="G32" s="14"/>
      <c r="H32" s="14"/>
      <c r="I32" s="14"/>
      <c r="J32" s="14"/>
      <c r="K32" s="14"/>
      <c r="L32" s="28"/>
      <c r="M32" s="14"/>
      <c r="N32" s="14"/>
      <c r="O32" s="14"/>
      <c r="P32" s="14"/>
      <c r="Q32" s="14"/>
      <c r="R32" s="14"/>
      <c r="S32" s="14"/>
      <c r="T32" s="14"/>
      <c r="U32" s="14"/>
      <c r="V32" s="14"/>
      <c r="W32" s="14"/>
      <c r="X32" s="14"/>
      <c r="Y32" s="14"/>
      <c r="Z32" s="14"/>
      <c r="AA32" s="14"/>
    </row>
    <row r="33" spans="1:27" x14ac:dyDescent="0.3">
      <c r="A33" s="13" t="str">
        <f t="shared" si="0"/>
        <v/>
      </c>
      <c r="B33" s="14"/>
      <c r="C33" s="14"/>
      <c r="D33" s="14"/>
      <c r="E33" s="14"/>
      <c r="F33" s="14"/>
      <c r="G33" s="14"/>
      <c r="H33" s="14"/>
      <c r="I33" s="14"/>
      <c r="J33" s="14"/>
      <c r="K33" s="14"/>
      <c r="L33" s="28"/>
      <c r="M33" s="14"/>
      <c r="N33" s="14"/>
      <c r="O33" s="14"/>
      <c r="P33" s="14"/>
      <c r="Q33" s="14"/>
      <c r="R33" s="14"/>
      <c r="S33" s="14"/>
      <c r="T33" s="14"/>
      <c r="U33" s="14"/>
      <c r="V33" s="14"/>
      <c r="W33" s="14"/>
      <c r="X33" s="14"/>
      <c r="Y33" s="14"/>
      <c r="Z33" s="14"/>
      <c r="AA33" s="14"/>
    </row>
    <row r="34" spans="1:27" x14ac:dyDescent="0.3">
      <c r="A34" s="13" t="str">
        <f t="shared" si="0"/>
        <v/>
      </c>
      <c r="B34" s="14"/>
      <c r="C34" s="14"/>
      <c r="D34" s="14"/>
      <c r="E34" s="14"/>
      <c r="F34" s="14"/>
      <c r="G34" s="14"/>
      <c r="H34" s="14"/>
      <c r="I34" s="14"/>
      <c r="J34" s="14"/>
      <c r="K34" s="14"/>
      <c r="L34" s="28"/>
      <c r="M34" s="14"/>
      <c r="N34" s="14"/>
      <c r="O34" s="14"/>
      <c r="P34" s="14"/>
      <c r="Q34" s="14"/>
      <c r="R34" s="14"/>
      <c r="S34" s="14"/>
      <c r="T34" s="14"/>
      <c r="U34" s="14"/>
      <c r="V34" s="14"/>
      <c r="W34" s="14"/>
      <c r="X34" s="14"/>
      <c r="Y34" s="14"/>
      <c r="Z34" s="14"/>
      <c r="AA34" s="14"/>
    </row>
    <row r="35" spans="1:27" x14ac:dyDescent="0.3">
      <c r="A35" s="13" t="str">
        <f t="shared" si="0"/>
        <v/>
      </c>
      <c r="B35" s="14"/>
      <c r="C35" s="14"/>
      <c r="D35" s="14"/>
      <c r="E35" s="14"/>
      <c r="F35" s="14"/>
      <c r="G35" s="14"/>
      <c r="H35" s="14"/>
      <c r="I35" s="14"/>
      <c r="J35" s="14"/>
      <c r="K35" s="14"/>
      <c r="L35" s="28"/>
      <c r="M35" s="14"/>
      <c r="N35" s="14"/>
      <c r="O35" s="14"/>
      <c r="P35" s="14"/>
      <c r="Q35" s="14"/>
      <c r="R35" s="14"/>
      <c r="S35" s="14"/>
      <c r="T35" s="14"/>
      <c r="U35" s="14"/>
      <c r="V35" s="14"/>
      <c r="W35" s="14"/>
      <c r="X35" s="14"/>
      <c r="Y35" s="14"/>
      <c r="Z35" s="14"/>
      <c r="AA35" s="14"/>
    </row>
    <row r="36" spans="1:27" x14ac:dyDescent="0.3">
      <c r="A36" s="13" t="str">
        <f t="shared" si="0"/>
        <v/>
      </c>
      <c r="B36" s="14"/>
      <c r="C36" s="14"/>
      <c r="D36" s="14"/>
      <c r="E36" s="14"/>
      <c r="F36" s="14"/>
      <c r="G36" s="14"/>
      <c r="H36" s="14"/>
      <c r="I36" s="14"/>
      <c r="J36" s="14"/>
      <c r="K36" s="14"/>
      <c r="L36" s="28"/>
      <c r="M36" s="14"/>
      <c r="N36" s="14"/>
      <c r="O36" s="14"/>
      <c r="P36" s="14"/>
      <c r="Q36" s="14"/>
      <c r="R36" s="14"/>
      <c r="S36" s="14"/>
      <c r="T36" s="14"/>
      <c r="U36" s="14"/>
      <c r="V36" s="14"/>
      <c r="W36" s="14"/>
      <c r="X36" s="14"/>
      <c r="Y36" s="14"/>
      <c r="Z36" s="14"/>
      <c r="AA36" s="14"/>
    </row>
    <row r="37" spans="1:27" x14ac:dyDescent="0.3">
      <c r="A37" s="13" t="str">
        <f t="shared" si="0"/>
        <v/>
      </c>
      <c r="B37" s="14"/>
      <c r="C37" s="14"/>
      <c r="D37" s="14"/>
      <c r="E37" s="14"/>
      <c r="F37" s="14"/>
      <c r="G37" s="14"/>
      <c r="H37" s="14"/>
      <c r="I37" s="14"/>
      <c r="J37" s="14"/>
      <c r="K37" s="14"/>
      <c r="L37" s="28"/>
      <c r="M37" s="14"/>
      <c r="N37" s="14"/>
      <c r="O37" s="14"/>
      <c r="P37" s="14"/>
      <c r="Q37" s="14"/>
      <c r="R37" s="14"/>
      <c r="S37" s="14"/>
      <c r="T37" s="14"/>
      <c r="U37" s="14"/>
      <c r="V37" s="14"/>
      <c r="W37" s="14"/>
      <c r="X37" s="14"/>
      <c r="Y37" s="14"/>
      <c r="Z37" s="14"/>
      <c r="AA37" s="14"/>
    </row>
    <row r="38" spans="1:27" x14ac:dyDescent="0.3">
      <c r="A38" s="13" t="str">
        <f t="shared" si="0"/>
        <v/>
      </c>
      <c r="B38" s="14"/>
      <c r="C38" s="14"/>
      <c r="D38" s="14"/>
      <c r="E38" s="14"/>
      <c r="F38" s="14"/>
      <c r="G38" s="14"/>
      <c r="H38" s="14"/>
      <c r="I38" s="14"/>
      <c r="J38" s="14"/>
      <c r="K38" s="14"/>
      <c r="L38" s="28"/>
      <c r="M38" s="14"/>
      <c r="N38" s="14"/>
      <c r="O38" s="14"/>
      <c r="P38" s="14"/>
      <c r="Q38" s="14"/>
      <c r="R38" s="14"/>
      <c r="S38" s="14"/>
      <c r="T38" s="14"/>
      <c r="U38" s="14"/>
      <c r="V38" s="14"/>
      <c r="W38" s="14"/>
      <c r="X38" s="14"/>
      <c r="Y38" s="14"/>
      <c r="Z38" s="14"/>
      <c r="AA38" s="14"/>
    </row>
    <row r="39" spans="1:27" x14ac:dyDescent="0.3">
      <c r="A39" s="13" t="str">
        <f t="shared" ref="A39:A70" si="1">IF(B39="","","SLA-"&amp;TEXT(ROW()-5,"00"))</f>
        <v/>
      </c>
      <c r="B39" s="14"/>
      <c r="C39" s="14"/>
      <c r="D39" s="14"/>
      <c r="E39" s="14"/>
      <c r="F39" s="14"/>
      <c r="G39" s="14"/>
      <c r="H39" s="14"/>
      <c r="I39" s="14"/>
      <c r="J39" s="14"/>
      <c r="K39" s="14"/>
      <c r="L39" s="28"/>
      <c r="M39" s="14"/>
      <c r="N39" s="14"/>
      <c r="O39" s="14"/>
      <c r="P39" s="14"/>
      <c r="Q39" s="14"/>
      <c r="R39" s="14"/>
      <c r="S39" s="14"/>
      <c r="T39" s="14"/>
      <c r="U39" s="14"/>
      <c r="V39" s="14"/>
      <c r="W39" s="14"/>
      <c r="X39" s="14"/>
      <c r="Y39" s="14"/>
      <c r="Z39" s="14"/>
      <c r="AA39" s="14"/>
    </row>
    <row r="40" spans="1:27" x14ac:dyDescent="0.3">
      <c r="A40" s="13" t="str">
        <f t="shared" si="1"/>
        <v/>
      </c>
      <c r="B40" s="14"/>
      <c r="C40" s="14"/>
      <c r="D40" s="14"/>
      <c r="E40" s="14"/>
      <c r="F40" s="14"/>
      <c r="G40" s="14"/>
      <c r="H40" s="14"/>
      <c r="I40" s="14"/>
      <c r="J40" s="14"/>
      <c r="K40" s="14"/>
      <c r="L40" s="28"/>
      <c r="M40" s="14"/>
      <c r="N40" s="14"/>
      <c r="O40" s="14"/>
      <c r="P40" s="14"/>
      <c r="Q40" s="14"/>
      <c r="R40" s="14"/>
      <c r="S40" s="14"/>
      <c r="T40" s="14"/>
      <c r="U40" s="14"/>
      <c r="V40" s="14"/>
      <c r="W40" s="14"/>
      <c r="X40" s="14"/>
      <c r="Y40" s="14"/>
      <c r="Z40" s="14"/>
      <c r="AA40" s="14"/>
    </row>
    <row r="41" spans="1:27" x14ac:dyDescent="0.3">
      <c r="A41" s="13" t="str">
        <f t="shared" si="1"/>
        <v/>
      </c>
      <c r="B41" s="14"/>
      <c r="C41" s="14"/>
      <c r="D41" s="14"/>
      <c r="E41" s="14"/>
      <c r="F41" s="14"/>
      <c r="G41" s="14"/>
      <c r="H41" s="14"/>
      <c r="I41" s="14"/>
      <c r="J41" s="14"/>
      <c r="K41" s="14"/>
      <c r="L41" s="28"/>
      <c r="M41" s="14"/>
      <c r="N41" s="14"/>
      <c r="O41" s="14"/>
      <c r="P41" s="14"/>
      <c r="Q41" s="14"/>
      <c r="R41" s="14"/>
      <c r="S41" s="14"/>
      <c r="T41" s="14"/>
      <c r="U41" s="14"/>
      <c r="V41" s="14"/>
      <c r="W41" s="14"/>
      <c r="X41" s="14"/>
      <c r="Y41" s="14"/>
      <c r="Z41" s="14"/>
      <c r="AA41" s="14"/>
    </row>
    <row r="42" spans="1:27" x14ac:dyDescent="0.3">
      <c r="A42" s="13" t="str">
        <f t="shared" si="1"/>
        <v/>
      </c>
      <c r="B42" s="14"/>
      <c r="C42" s="14"/>
      <c r="D42" s="14"/>
      <c r="E42" s="14"/>
      <c r="F42" s="14"/>
      <c r="G42" s="14"/>
      <c r="H42" s="14"/>
      <c r="I42" s="14"/>
      <c r="J42" s="14"/>
      <c r="K42" s="14"/>
      <c r="L42" s="28"/>
      <c r="M42" s="14"/>
      <c r="N42" s="14"/>
      <c r="O42" s="14"/>
      <c r="P42" s="14"/>
      <c r="Q42" s="14"/>
      <c r="R42" s="14"/>
      <c r="S42" s="14"/>
      <c r="T42" s="14"/>
      <c r="U42" s="14"/>
      <c r="V42" s="14"/>
      <c r="W42" s="14"/>
      <c r="X42" s="14"/>
      <c r="Y42" s="14"/>
      <c r="Z42" s="14"/>
      <c r="AA42" s="14"/>
    </row>
    <row r="43" spans="1:27" x14ac:dyDescent="0.3">
      <c r="A43" s="13" t="str">
        <f t="shared" si="1"/>
        <v/>
      </c>
      <c r="B43" s="14"/>
      <c r="C43" s="14"/>
      <c r="D43" s="14"/>
      <c r="E43" s="14"/>
      <c r="F43" s="14"/>
      <c r="G43" s="14"/>
      <c r="H43" s="14"/>
      <c r="I43" s="14"/>
      <c r="J43" s="14"/>
      <c r="K43" s="14"/>
      <c r="L43" s="28"/>
      <c r="M43" s="14"/>
      <c r="N43" s="14"/>
      <c r="O43" s="14"/>
      <c r="P43" s="14"/>
      <c r="Q43" s="14"/>
      <c r="R43" s="14"/>
      <c r="S43" s="14"/>
      <c r="T43" s="14"/>
      <c r="U43" s="14"/>
      <c r="V43" s="14"/>
      <c r="W43" s="14"/>
      <c r="X43" s="14"/>
      <c r="Y43" s="14"/>
      <c r="Z43" s="14"/>
      <c r="AA43" s="14"/>
    </row>
    <row r="44" spans="1:27" x14ac:dyDescent="0.3">
      <c r="A44" s="13" t="str">
        <f t="shared" si="1"/>
        <v/>
      </c>
      <c r="B44" s="14"/>
      <c r="C44" s="14"/>
      <c r="D44" s="14"/>
      <c r="E44" s="14"/>
      <c r="F44" s="14"/>
      <c r="G44" s="14"/>
      <c r="H44" s="14"/>
      <c r="I44" s="14"/>
      <c r="J44" s="14"/>
      <c r="K44" s="14"/>
      <c r="L44" s="28"/>
      <c r="M44" s="14"/>
      <c r="N44" s="14"/>
      <c r="O44" s="14"/>
      <c r="P44" s="14"/>
      <c r="Q44" s="14"/>
      <c r="R44" s="14"/>
      <c r="S44" s="14"/>
      <c r="T44" s="14"/>
      <c r="U44" s="14"/>
      <c r="V44" s="14"/>
      <c r="W44" s="14"/>
      <c r="X44" s="14"/>
      <c r="Y44" s="14"/>
      <c r="Z44" s="14"/>
      <c r="AA44" s="14"/>
    </row>
    <row r="45" spans="1:27" x14ac:dyDescent="0.3">
      <c r="A45" s="13" t="str">
        <f t="shared" si="1"/>
        <v/>
      </c>
      <c r="B45" s="14"/>
      <c r="C45" s="14"/>
      <c r="D45" s="14"/>
      <c r="E45" s="14"/>
      <c r="F45" s="14"/>
      <c r="G45" s="14"/>
      <c r="H45" s="14"/>
      <c r="I45" s="14"/>
      <c r="J45" s="14"/>
      <c r="K45" s="14"/>
      <c r="L45" s="28"/>
      <c r="M45" s="14"/>
      <c r="N45" s="14"/>
      <c r="O45" s="14"/>
      <c r="P45" s="14"/>
      <c r="Q45" s="14"/>
      <c r="R45" s="14"/>
      <c r="S45" s="14"/>
      <c r="T45" s="14"/>
      <c r="U45" s="14"/>
      <c r="V45" s="14"/>
      <c r="W45" s="14"/>
      <c r="X45" s="14"/>
      <c r="Y45" s="14"/>
      <c r="Z45" s="14"/>
      <c r="AA45" s="14"/>
    </row>
    <row r="46" spans="1:27" x14ac:dyDescent="0.3">
      <c r="A46" s="13" t="str">
        <f t="shared" si="1"/>
        <v/>
      </c>
      <c r="B46" s="14"/>
      <c r="C46" s="14"/>
      <c r="D46" s="14"/>
      <c r="E46" s="14"/>
      <c r="F46" s="14"/>
      <c r="G46" s="14"/>
      <c r="H46" s="14"/>
      <c r="I46" s="14"/>
      <c r="J46" s="14"/>
      <c r="K46" s="14"/>
      <c r="L46" s="28"/>
      <c r="M46" s="14"/>
      <c r="N46" s="14"/>
      <c r="O46" s="14"/>
      <c r="P46" s="14"/>
      <c r="Q46" s="14"/>
      <c r="R46" s="14"/>
      <c r="S46" s="14"/>
      <c r="T46" s="14"/>
      <c r="U46" s="14"/>
      <c r="V46" s="14"/>
      <c r="W46" s="14"/>
      <c r="X46" s="14"/>
      <c r="Y46" s="14"/>
      <c r="Z46" s="14"/>
      <c r="AA46" s="14"/>
    </row>
    <row r="47" spans="1:27" x14ac:dyDescent="0.3">
      <c r="A47" s="13" t="str">
        <f t="shared" si="1"/>
        <v/>
      </c>
      <c r="B47" s="14"/>
      <c r="C47" s="14"/>
      <c r="D47" s="14"/>
      <c r="E47" s="14"/>
      <c r="F47" s="14"/>
      <c r="G47" s="14"/>
      <c r="H47" s="14"/>
      <c r="I47" s="14"/>
      <c r="J47" s="14"/>
      <c r="K47" s="14"/>
      <c r="L47" s="28"/>
      <c r="M47" s="14"/>
      <c r="N47" s="14"/>
      <c r="O47" s="14"/>
      <c r="P47" s="14"/>
      <c r="Q47" s="14"/>
      <c r="R47" s="14"/>
      <c r="S47" s="14"/>
      <c r="T47" s="14"/>
      <c r="U47" s="14"/>
      <c r="V47" s="14"/>
      <c r="W47" s="14"/>
      <c r="X47" s="14"/>
      <c r="Y47" s="14"/>
      <c r="Z47" s="14"/>
      <c r="AA47" s="14"/>
    </row>
    <row r="48" spans="1:27" x14ac:dyDescent="0.3">
      <c r="A48" s="13" t="str">
        <f t="shared" si="1"/>
        <v/>
      </c>
      <c r="B48" s="14"/>
      <c r="C48" s="14"/>
      <c r="D48" s="14"/>
      <c r="E48" s="14"/>
      <c r="F48" s="14"/>
      <c r="G48" s="14"/>
      <c r="H48" s="14"/>
      <c r="I48" s="14"/>
      <c r="J48" s="14"/>
      <c r="K48" s="14"/>
      <c r="L48" s="28"/>
      <c r="M48" s="14"/>
      <c r="N48" s="14"/>
      <c r="O48" s="14"/>
      <c r="P48" s="14"/>
      <c r="Q48" s="14"/>
      <c r="R48" s="14"/>
      <c r="S48" s="14"/>
      <c r="T48" s="14"/>
      <c r="U48" s="14"/>
      <c r="V48" s="14"/>
      <c r="W48" s="14"/>
      <c r="X48" s="14"/>
      <c r="Y48" s="14"/>
      <c r="Z48" s="14"/>
      <c r="AA48" s="14"/>
    </row>
    <row r="49" spans="1:27" x14ac:dyDescent="0.3">
      <c r="A49" s="13" t="str">
        <f t="shared" si="1"/>
        <v/>
      </c>
      <c r="B49" s="14"/>
      <c r="C49" s="14"/>
      <c r="D49" s="14"/>
      <c r="E49" s="14"/>
      <c r="F49" s="14"/>
      <c r="G49" s="14"/>
      <c r="H49" s="14"/>
      <c r="I49" s="14"/>
      <c r="J49" s="14"/>
      <c r="K49" s="14"/>
      <c r="L49" s="28"/>
      <c r="M49" s="14"/>
      <c r="N49" s="14"/>
      <c r="O49" s="14"/>
      <c r="P49" s="14"/>
      <c r="Q49" s="14"/>
      <c r="R49" s="14"/>
      <c r="S49" s="14"/>
      <c r="T49" s="14"/>
      <c r="U49" s="14"/>
      <c r="V49" s="14"/>
      <c r="W49" s="14"/>
      <c r="X49" s="14"/>
      <c r="Y49" s="14"/>
      <c r="Z49" s="14"/>
      <c r="AA49" s="14"/>
    </row>
    <row r="50" spans="1:27" x14ac:dyDescent="0.3">
      <c r="A50" s="13" t="str">
        <f t="shared" si="1"/>
        <v/>
      </c>
      <c r="B50" s="14"/>
      <c r="C50" s="14"/>
      <c r="D50" s="14"/>
      <c r="E50" s="14"/>
      <c r="F50" s="14"/>
      <c r="G50" s="14"/>
      <c r="H50" s="14"/>
      <c r="I50" s="14"/>
      <c r="J50" s="14"/>
      <c r="K50" s="14"/>
      <c r="L50" s="28"/>
      <c r="M50" s="14"/>
      <c r="N50" s="14"/>
      <c r="O50" s="14"/>
      <c r="P50" s="14"/>
      <c r="Q50" s="14"/>
      <c r="R50" s="14"/>
      <c r="S50" s="14"/>
      <c r="T50" s="14"/>
      <c r="U50" s="14"/>
      <c r="V50" s="14"/>
      <c r="W50" s="14"/>
      <c r="X50" s="14"/>
      <c r="Y50" s="14"/>
      <c r="Z50" s="14"/>
      <c r="AA50" s="14"/>
    </row>
    <row r="51" spans="1:27" x14ac:dyDescent="0.3">
      <c r="A51" s="13" t="str">
        <f t="shared" si="1"/>
        <v/>
      </c>
      <c r="B51" s="14"/>
      <c r="C51" s="14"/>
      <c r="D51" s="14"/>
      <c r="E51" s="14"/>
      <c r="F51" s="14"/>
      <c r="G51" s="14"/>
      <c r="H51" s="14"/>
      <c r="I51" s="14"/>
      <c r="J51" s="14"/>
      <c r="K51" s="14"/>
      <c r="L51" s="28"/>
      <c r="M51" s="14"/>
      <c r="N51" s="14"/>
      <c r="O51" s="14"/>
      <c r="P51" s="14"/>
      <c r="Q51" s="14"/>
      <c r="R51" s="14"/>
      <c r="S51" s="14"/>
      <c r="T51" s="14"/>
      <c r="U51" s="14"/>
      <c r="V51" s="14"/>
      <c r="W51" s="14"/>
      <c r="X51" s="14"/>
      <c r="Y51" s="14"/>
      <c r="Z51" s="14"/>
      <c r="AA51" s="14"/>
    </row>
    <row r="52" spans="1:27" x14ac:dyDescent="0.3">
      <c r="A52" s="13" t="str">
        <f t="shared" si="1"/>
        <v/>
      </c>
      <c r="B52" s="14"/>
      <c r="C52" s="14"/>
      <c r="D52" s="14"/>
      <c r="E52" s="14"/>
      <c r="F52" s="14"/>
      <c r="G52" s="14"/>
      <c r="H52" s="14"/>
      <c r="I52" s="14"/>
      <c r="J52" s="14"/>
      <c r="K52" s="14"/>
      <c r="L52" s="28"/>
      <c r="M52" s="14"/>
      <c r="N52" s="14"/>
      <c r="O52" s="14"/>
      <c r="P52" s="14"/>
      <c r="Q52" s="14"/>
      <c r="R52" s="14"/>
      <c r="S52" s="14"/>
      <c r="T52" s="14"/>
      <c r="U52" s="14"/>
      <c r="V52" s="14"/>
      <c r="W52" s="14"/>
      <c r="X52" s="14"/>
      <c r="Y52" s="14"/>
      <c r="Z52" s="14"/>
      <c r="AA52" s="14"/>
    </row>
    <row r="53" spans="1:27" x14ac:dyDescent="0.3">
      <c r="A53" s="13" t="str">
        <f t="shared" si="1"/>
        <v/>
      </c>
      <c r="B53" s="14"/>
      <c r="C53" s="14"/>
      <c r="D53" s="14"/>
      <c r="E53" s="14"/>
      <c r="F53" s="14"/>
      <c r="G53" s="14"/>
      <c r="H53" s="14"/>
      <c r="I53" s="14"/>
      <c r="J53" s="14"/>
      <c r="K53" s="14"/>
      <c r="L53" s="28"/>
      <c r="M53" s="14"/>
      <c r="N53" s="14"/>
      <c r="O53" s="14"/>
      <c r="P53" s="14"/>
      <c r="Q53" s="14"/>
      <c r="R53" s="14"/>
      <c r="S53" s="14"/>
      <c r="T53" s="14"/>
      <c r="U53" s="14"/>
      <c r="V53" s="14"/>
      <c r="W53" s="14"/>
      <c r="X53" s="14"/>
      <c r="Y53" s="14"/>
      <c r="Z53" s="14"/>
      <c r="AA53" s="14"/>
    </row>
    <row r="54" spans="1:27" x14ac:dyDescent="0.3">
      <c r="A54" s="13" t="str">
        <f t="shared" si="1"/>
        <v/>
      </c>
      <c r="B54" s="14"/>
      <c r="C54" s="14"/>
      <c r="D54" s="14"/>
      <c r="E54" s="14"/>
      <c r="F54" s="14"/>
      <c r="G54" s="14"/>
      <c r="H54" s="14"/>
      <c r="I54" s="14"/>
      <c r="J54" s="14"/>
      <c r="K54" s="14"/>
      <c r="L54" s="28"/>
      <c r="M54" s="14"/>
      <c r="N54" s="14"/>
      <c r="O54" s="14"/>
      <c r="P54" s="14"/>
      <c r="Q54" s="14"/>
      <c r="R54" s="14"/>
      <c r="S54" s="14"/>
      <c r="T54" s="14"/>
      <c r="U54" s="14"/>
      <c r="V54" s="14"/>
      <c r="W54" s="14"/>
      <c r="X54" s="14"/>
      <c r="Y54" s="14"/>
      <c r="Z54" s="14"/>
      <c r="AA54" s="14"/>
    </row>
    <row r="55" spans="1:27" x14ac:dyDescent="0.3">
      <c r="A55" s="13" t="str">
        <f t="shared" si="1"/>
        <v/>
      </c>
      <c r="B55" s="14"/>
      <c r="C55" s="14"/>
      <c r="D55" s="14"/>
      <c r="E55" s="14"/>
      <c r="F55" s="14"/>
      <c r="G55" s="14"/>
      <c r="H55" s="14"/>
      <c r="I55" s="14"/>
      <c r="J55" s="14"/>
      <c r="K55" s="14"/>
      <c r="L55" s="28"/>
      <c r="M55" s="14"/>
      <c r="N55" s="14"/>
      <c r="O55" s="14"/>
      <c r="P55" s="14"/>
      <c r="Q55" s="14"/>
      <c r="R55" s="14"/>
      <c r="S55" s="14"/>
      <c r="T55" s="14"/>
      <c r="U55" s="14"/>
      <c r="V55" s="14"/>
      <c r="W55" s="14"/>
      <c r="X55" s="14"/>
      <c r="Y55" s="14"/>
      <c r="Z55" s="14"/>
      <c r="AA55" s="14"/>
    </row>
    <row r="56" spans="1:27" x14ac:dyDescent="0.3">
      <c r="A56" s="13" t="str">
        <f t="shared" si="1"/>
        <v/>
      </c>
      <c r="B56" s="14"/>
      <c r="C56" s="14"/>
      <c r="D56" s="14"/>
      <c r="E56" s="14"/>
      <c r="F56" s="14"/>
      <c r="G56" s="14"/>
      <c r="H56" s="14"/>
      <c r="I56" s="14"/>
      <c r="J56" s="14"/>
      <c r="K56" s="14"/>
      <c r="L56" s="28"/>
      <c r="M56" s="14"/>
      <c r="N56" s="14"/>
      <c r="O56" s="14"/>
      <c r="P56" s="14"/>
      <c r="Q56" s="14"/>
      <c r="R56" s="14"/>
      <c r="S56" s="14"/>
      <c r="T56" s="14"/>
      <c r="U56" s="14"/>
      <c r="V56" s="14"/>
      <c r="W56" s="14"/>
      <c r="X56" s="14"/>
      <c r="Y56" s="14"/>
      <c r="Z56" s="14"/>
      <c r="AA56" s="14"/>
    </row>
    <row r="57" spans="1:27" x14ac:dyDescent="0.3">
      <c r="A57" s="13" t="str">
        <f t="shared" si="1"/>
        <v/>
      </c>
      <c r="B57" s="14"/>
      <c r="C57" s="14"/>
      <c r="D57" s="14"/>
      <c r="E57" s="14"/>
      <c r="F57" s="14"/>
      <c r="G57" s="14"/>
      <c r="H57" s="14"/>
      <c r="I57" s="14"/>
      <c r="J57" s="14"/>
      <c r="K57" s="14"/>
      <c r="L57" s="28"/>
      <c r="M57" s="14"/>
      <c r="N57" s="14"/>
      <c r="O57" s="14"/>
      <c r="P57" s="14"/>
      <c r="Q57" s="14"/>
      <c r="R57" s="14"/>
      <c r="S57" s="14"/>
      <c r="T57" s="14"/>
      <c r="U57" s="14"/>
      <c r="V57" s="14"/>
      <c r="W57" s="14"/>
      <c r="X57" s="14"/>
      <c r="Y57" s="14"/>
      <c r="Z57" s="14"/>
      <c r="AA57" s="14"/>
    </row>
    <row r="58" spans="1:27" x14ac:dyDescent="0.3">
      <c r="A58" s="13" t="str">
        <f t="shared" si="1"/>
        <v/>
      </c>
      <c r="B58" s="14"/>
      <c r="C58" s="14"/>
      <c r="D58" s="14"/>
      <c r="E58" s="14"/>
      <c r="F58" s="14"/>
      <c r="G58" s="14"/>
      <c r="H58" s="14"/>
      <c r="I58" s="14"/>
      <c r="J58" s="14"/>
      <c r="K58" s="14"/>
      <c r="L58" s="28"/>
      <c r="M58" s="14"/>
      <c r="N58" s="14"/>
      <c r="O58" s="14"/>
      <c r="P58" s="14"/>
      <c r="Q58" s="14"/>
      <c r="R58" s="14"/>
      <c r="S58" s="14"/>
      <c r="T58" s="14"/>
      <c r="U58" s="14"/>
      <c r="V58" s="14"/>
      <c r="W58" s="14"/>
      <c r="X58" s="14"/>
      <c r="Y58" s="14"/>
      <c r="Z58" s="14"/>
      <c r="AA58" s="14"/>
    </row>
    <row r="59" spans="1:27" x14ac:dyDescent="0.3">
      <c r="A59" s="13" t="str">
        <f t="shared" si="1"/>
        <v/>
      </c>
      <c r="B59" s="14"/>
      <c r="C59" s="14"/>
      <c r="D59" s="14"/>
      <c r="E59" s="14"/>
      <c r="F59" s="14"/>
      <c r="G59" s="14"/>
      <c r="H59" s="14"/>
      <c r="I59" s="14"/>
      <c r="J59" s="14"/>
      <c r="K59" s="14"/>
      <c r="L59" s="28"/>
      <c r="M59" s="14"/>
      <c r="N59" s="14"/>
      <c r="O59" s="14"/>
      <c r="P59" s="14"/>
      <c r="Q59" s="14"/>
      <c r="R59" s="14"/>
      <c r="S59" s="14"/>
      <c r="T59" s="14"/>
      <c r="U59" s="14"/>
      <c r="V59" s="14"/>
      <c r="W59" s="14"/>
      <c r="X59" s="14"/>
      <c r="Y59" s="14"/>
      <c r="Z59" s="14"/>
      <c r="AA59" s="14"/>
    </row>
    <row r="60" spans="1:27" x14ac:dyDescent="0.3">
      <c r="A60" s="13" t="str">
        <f t="shared" si="1"/>
        <v/>
      </c>
      <c r="B60" s="14"/>
      <c r="C60" s="14"/>
      <c r="D60" s="14"/>
      <c r="E60" s="14"/>
      <c r="F60" s="14"/>
      <c r="G60" s="14"/>
      <c r="H60" s="14"/>
      <c r="I60" s="14"/>
      <c r="J60" s="14"/>
      <c r="K60" s="14"/>
      <c r="L60" s="28"/>
      <c r="M60" s="14"/>
      <c r="N60" s="14"/>
      <c r="O60" s="14"/>
      <c r="P60" s="14"/>
      <c r="Q60" s="14"/>
      <c r="R60" s="14"/>
      <c r="S60" s="14"/>
      <c r="T60" s="14"/>
      <c r="U60" s="14"/>
      <c r="V60" s="14"/>
      <c r="W60" s="14"/>
      <c r="X60" s="14"/>
      <c r="Y60" s="14"/>
      <c r="Z60" s="14"/>
      <c r="AA60" s="14"/>
    </row>
    <row r="61" spans="1:27" x14ac:dyDescent="0.3">
      <c r="A61" s="13" t="str">
        <f t="shared" si="1"/>
        <v/>
      </c>
      <c r="B61" s="14"/>
      <c r="C61" s="14"/>
      <c r="D61" s="14"/>
      <c r="E61" s="14"/>
      <c r="F61" s="14"/>
      <c r="G61" s="14"/>
      <c r="H61" s="14"/>
      <c r="I61" s="14"/>
      <c r="J61" s="14"/>
      <c r="K61" s="14"/>
      <c r="L61" s="28"/>
      <c r="M61" s="14"/>
      <c r="N61" s="14"/>
      <c r="O61" s="14"/>
      <c r="P61" s="14"/>
      <c r="Q61" s="14"/>
      <c r="R61" s="14"/>
      <c r="S61" s="14"/>
      <c r="T61" s="14"/>
      <c r="U61" s="14"/>
      <c r="V61" s="14"/>
      <c r="W61" s="14"/>
      <c r="X61" s="14"/>
      <c r="Y61" s="14"/>
      <c r="Z61" s="14"/>
      <c r="AA61" s="14"/>
    </row>
    <row r="62" spans="1:27" x14ac:dyDescent="0.3">
      <c r="A62" s="13" t="str">
        <f t="shared" si="1"/>
        <v/>
      </c>
      <c r="B62" s="14"/>
      <c r="C62" s="14"/>
      <c r="D62" s="14"/>
      <c r="E62" s="14"/>
      <c r="F62" s="14"/>
      <c r="G62" s="14"/>
      <c r="H62" s="14"/>
      <c r="I62" s="14"/>
      <c r="J62" s="14"/>
      <c r="K62" s="14"/>
      <c r="L62" s="28"/>
      <c r="M62" s="14"/>
      <c r="N62" s="14"/>
      <c r="O62" s="14"/>
      <c r="P62" s="14"/>
      <c r="Q62" s="14"/>
      <c r="R62" s="14"/>
      <c r="S62" s="14"/>
      <c r="T62" s="14"/>
      <c r="U62" s="14"/>
      <c r="V62" s="14"/>
      <c r="W62" s="14"/>
      <c r="X62" s="14"/>
      <c r="Y62" s="14"/>
      <c r="Z62" s="14"/>
      <c r="AA62" s="14"/>
    </row>
    <row r="63" spans="1:27" x14ac:dyDescent="0.3">
      <c r="A63" s="13" t="str">
        <f t="shared" si="1"/>
        <v/>
      </c>
      <c r="B63" s="14"/>
      <c r="C63" s="14"/>
      <c r="D63" s="14"/>
      <c r="E63" s="14"/>
      <c r="F63" s="14"/>
      <c r="G63" s="14"/>
      <c r="H63" s="14"/>
      <c r="I63" s="14"/>
      <c r="J63" s="14"/>
      <c r="K63" s="14"/>
      <c r="L63" s="28"/>
      <c r="M63" s="14"/>
      <c r="N63" s="14"/>
      <c r="O63" s="14"/>
      <c r="P63" s="14"/>
      <c r="Q63" s="14"/>
      <c r="R63" s="14"/>
      <c r="S63" s="14"/>
      <c r="T63" s="14"/>
      <c r="U63" s="14"/>
      <c r="V63" s="14"/>
      <c r="W63" s="14"/>
      <c r="X63" s="14"/>
      <c r="Y63" s="14"/>
      <c r="Z63" s="14"/>
      <c r="AA63" s="14"/>
    </row>
    <row r="64" spans="1:27" x14ac:dyDescent="0.3">
      <c r="A64" s="13" t="str">
        <f t="shared" si="1"/>
        <v/>
      </c>
      <c r="B64" s="14"/>
      <c r="C64" s="14"/>
      <c r="D64" s="14"/>
      <c r="E64" s="14"/>
      <c r="F64" s="14"/>
      <c r="G64" s="14"/>
      <c r="H64" s="14"/>
      <c r="I64" s="14"/>
      <c r="J64" s="14"/>
      <c r="K64" s="14"/>
      <c r="L64" s="28"/>
      <c r="M64" s="14"/>
      <c r="N64" s="14"/>
      <c r="O64" s="14"/>
      <c r="P64" s="14"/>
      <c r="Q64" s="14"/>
      <c r="R64" s="14"/>
      <c r="S64" s="14"/>
      <c r="T64" s="14"/>
      <c r="U64" s="14"/>
      <c r="V64" s="14"/>
      <c r="W64" s="14"/>
      <c r="X64" s="14"/>
      <c r="Y64" s="14"/>
      <c r="Z64" s="14"/>
      <c r="AA64" s="14"/>
    </row>
    <row r="65" spans="1:27" x14ac:dyDescent="0.3">
      <c r="A65" s="13" t="str">
        <f t="shared" si="1"/>
        <v/>
      </c>
      <c r="B65" s="14"/>
      <c r="C65" s="14"/>
      <c r="D65" s="14"/>
      <c r="E65" s="14"/>
      <c r="F65" s="14"/>
      <c r="G65" s="14"/>
      <c r="H65" s="14"/>
      <c r="I65" s="14"/>
      <c r="J65" s="14"/>
      <c r="K65" s="14"/>
      <c r="L65" s="28"/>
      <c r="M65" s="14"/>
      <c r="N65" s="14"/>
      <c r="O65" s="14"/>
      <c r="P65" s="14"/>
      <c r="Q65" s="14"/>
      <c r="R65" s="14"/>
      <c r="S65" s="14"/>
      <c r="T65" s="14"/>
      <c r="U65" s="14"/>
      <c r="V65" s="14"/>
      <c r="W65" s="14"/>
      <c r="X65" s="14"/>
      <c r="Y65" s="14"/>
      <c r="Z65" s="14"/>
      <c r="AA65" s="14"/>
    </row>
    <row r="66" spans="1:27" x14ac:dyDescent="0.3">
      <c r="A66" s="13" t="str">
        <f t="shared" si="1"/>
        <v/>
      </c>
      <c r="B66" s="14"/>
      <c r="C66" s="14"/>
      <c r="D66" s="14"/>
      <c r="E66" s="14"/>
      <c r="F66" s="14"/>
      <c r="G66" s="14"/>
      <c r="H66" s="14"/>
      <c r="I66" s="14"/>
      <c r="J66" s="14"/>
      <c r="K66" s="14"/>
      <c r="L66" s="28"/>
      <c r="M66" s="14"/>
      <c r="N66" s="14"/>
      <c r="O66" s="14"/>
      <c r="P66" s="14"/>
      <c r="Q66" s="14"/>
      <c r="R66" s="14"/>
      <c r="S66" s="14"/>
      <c r="T66" s="14"/>
      <c r="U66" s="14"/>
      <c r="V66" s="14"/>
      <c r="W66" s="14"/>
      <c r="X66" s="14"/>
      <c r="Y66" s="14"/>
      <c r="Z66" s="14"/>
      <c r="AA66" s="14"/>
    </row>
  </sheetData>
  <mergeCells count="2">
    <mergeCell ref="B1:AA1"/>
    <mergeCell ref="B2:AA2"/>
  </mergeCells>
  <dataValidations count="18">
    <dataValidation type="list" allowBlank="1" showErrorMessage="1" errorTitle="Pick from the list" error="Choose a value from the dropdown, or add it to the list first." sqref="C7:C66">
      <formula1>Stage</formula1>
    </dataValidation>
    <dataValidation type="list" allowBlank="1" showErrorMessage="1" errorTitle="Pick from the list" error="Choose a value from the dropdown, or add it to the list first." sqref="D7:D66">
      <formula1>ReportCategory</formula1>
    </dataValidation>
    <dataValidation type="list" allowBlank="1" showErrorMessage="1" errorTitle="Pick from the list" error="Choose a value from the dropdown, or add it to the list first." sqref="E7:E66">
      <formula1>Severity</formula1>
    </dataValidation>
    <dataValidation type="decimal" operator="greaterThan" allowBlank="1" showErrorMessage="1" error="Enter a number greater than 0." sqref="I7:I66">
      <formula1>0</formula1>
    </dataValidation>
    <dataValidation type="list" allowBlank="1" showErrorMessage="1" errorTitle="Pick from the list" error="Choose a value from the dropdown, or add it to the list first." sqref="J7:J66">
      <formula1>Unit</formula1>
    </dataValidation>
    <dataValidation type="list" allowBlank="1" showErrorMessage="1" errorTitle="Pick from the list" error="Choose a value from the dropdown, or add it to the list first." sqref="K7:K66">
      <formula1>Calendar</formula1>
    </dataValidation>
    <dataValidation type="decimal" allowBlank="1" showErrorMessage="1" error="Enter a percentage between 0% and 100%." sqref="L7:L66">
      <formula1>0</formula1>
      <formula2>1</formula2>
    </dataValidation>
    <dataValidation type="list" allowBlank="1" sqref="M7:M66">
      <formula1>GroupNames</formula1>
    </dataValidation>
    <dataValidation type="list" allowBlank="1" sqref="P7:P66">
      <formula1>GroupNames</formula1>
    </dataValidation>
    <dataValidation type="list" allowBlank="1" sqref="T7:T66">
      <formula1>GroupNames</formula1>
    </dataValidation>
    <dataValidation type="list" allowBlank="1" sqref="X7:X66">
      <formula1>GroupNames</formula1>
    </dataValidation>
    <dataValidation type="list" allowBlank="1" showErrorMessage="1" errorTitle="Pick from the list" error="Choose a value from the dropdown, or add it to the list first." sqref="R7:R66">
      <formula1>Channel</formula1>
    </dataValidation>
    <dataValidation type="list" allowBlank="1" showErrorMessage="1" errorTitle="Pick from the list" error="Choose a value from the dropdown, or add it to the list first." sqref="V7:V66">
      <formula1>Channel</formula1>
    </dataValidation>
    <dataValidation type="list" allowBlank="1" showErrorMessage="1" errorTitle="Pick from the list" error="Choose a value from the dropdown, or add it to the list first." sqref="Z7:Z66">
      <formula1>Channel</formula1>
    </dataValidation>
    <dataValidation type="custom" allowBlank="1" showErrorMessage="1" errorTitle="Email address" error="Enter a valid email address, e.g. name@erc.sa." sqref="N7:N66">
      <formula1>ISNUMBER(SEARCH("@",N7))</formula1>
    </dataValidation>
    <dataValidation type="custom" allowBlank="1" showErrorMessage="1" errorTitle="Email address" error="Enter a valid email address, e.g. name@erc.sa." sqref="Q7:Q66">
      <formula1>ISNUMBER(SEARCH("@",Q7))</formula1>
    </dataValidation>
    <dataValidation type="custom" allowBlank="1" showErrorMessage="1" errorTitle="Email address" error="Enter a valid email address, e.g. name@erc.sa." sqref="U7:U66">
      <formula1>ISNUMBER(SEARCH("@",U7))</formula1>
    </dataValidation>
    <dataValidation type="custom" allowBlank="1" showErrorMessage="1" errorTitle="Email address" error="Enter a valid email address, e.g. name@erc.sa." sqref="Y7:Y66">
      <formula1>ISNUMBER(SEARCH("@",Y7))</formula1>
    </dataValidation>
  </dataValidations>
  <pageMargins left="0.75" right="0.75" top="1" bottom="1" header="0.5" footer="0.5"/>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6B78E"/>
  </sheetPr>
  <dimension ref="A1:H66"/>
  <sheetViews>
    <sheetView showGridLines="0" zoomScale="90" workbookViewId="0">
      <pane xSplit="2" ySplit="5" topLeftCell="C6" activePane="bottomRight" state="frozen"/>
      <selection pane="topRight"/>
      <selection pane="bottomLeft"/>
      <selection pane="bottomRight"/>
    </sheetView>
  </sheetViews>
  <sheetFormatPr defaultRowHeight="14.4" x14ac:dyDescent="0.3"/>
  <cols>
    <col min="1" max="1" width="32" customWidth="1"/>
    <col min="2" max="2" width="40" customWidth="1"/>
    <col min="3" max="3" width="26" customWidth="1"/>
    <col min="4" max="4" width="30" customWidth="1"/>
    <col min="5" max="5" width="28" customWidth="1"/>
    <col min="6" max="7" width="16" customWidth="1"/>
    <col min="8" max="8" width="30" customWidth="1"/>
  </cols>
  <sheetData>
    <row r="1" spans="1:8" ht="43.95" customHeight="1" x14ac:dyDescent="0.3">
      <c r="B1" s="30" t="s">
        <v>280</v>
      </c>
      <c r="C1" s="31"/>
      <c r="D1" s="31"/>
      <c r="E1" s="31"/>
      <c r="F1" s="31"/>
      <c r="G1" s="31"/>
      <c r="H1" s="31"/>
    </row>
    <row r="2" spans="1:8" ht="22.05" customHeight="1" x14ac:dyDescent="0.3">
      <c r="B2" s="34" t="s">
        <v>281</v>
      </c>
      <c r="C2" s="31"/>
      <c r="D2" s="31"/>
      <c r="E2" s="31"/>
      <c r="F2" s="31"/>
      <c r="G2" s="31"/>
      <c r="H2" s="31"/>
    </row>
    <row r="4" spans="1:8" x14ac:dyDescent="0.3">
      <c r="A4" s="9" t="s">
        <v>282</v>
      </c>
    </row>
    <row r="5" spans="1:8" ht="34.049999999999997" customHeight="1" x14ac:dyDescent="0.3">
      <c r="A5" s="10" t="s">
        <v>283</v>
      </c>
      <c r="B5" s="10" t="s">
        <v>284</v>
      </c>
      <c r="C5" s="10" t="s">
        <v>285</v>
      </c>
      <c r="D5" s="10" t="s">
        <v>286</v>
      </c>
      <c r="E5" s="10" t="s">
        <v>287</v>
      </c>
      <c r="F5" s="10" t="s">
        <v>288</v>
      </c>
      <c r="G5" s="10" t="s">
        <v>289</v>
      </c>
      <c r="H5" s="10" t="s">
        <v>259</v>
      </c>
    </row>
    <row r="6" spans="1:8" x14ac:dyDescent="0.3">
      <c r="A6" s="11" t="s">
        <v>270</v>
      </c>
      <c r="B6" s="11" t="s">
        <v>290</v>
      </c>
      <c r="C6" s="11" t="s">
        <v>291</v>
      </c>
      <c r="D6" s="11" t="s">
        <v>292</v>
      </c>
      <c r="E6" s="11" t="s">
        <v>293</v>
      </c>
      <c r="F6" s="11" t="s">
        <v>89</v>
      </c>
      <c r="G6" s="11" t="s">
        <v>294</v>
      </c>
      <c r="H6" s="11" t="s">
        <v>295</v>
      </c>
    </row>
    <row r="7" spans="1:8" ht="26.4" x14ac:dyDescent="0.3">
      <c r="A7" s="14" t="s">
        <v>270</v>
      </c>
      <c r="B7" s="14" t="s">
        <v>296</v>
      </c>
      <c r="C7" s="14"/>
      <c r="D7" s="14"/>
      <c r="E7" s="14"/>
      <c r="F7" s="14"/>
      <c r="G7" s="14"/>
      <c r="H7" s="14"/>
    </row>
    <row r="8" spans="1:8" ht="26.4" x14ac:dyDescent="0.3">
      <c r="A8" s="14" t="s">
        <v>297</v>
      </c>
      <c r="B8" s="14" t="s">
        <v>298</v>
      </c>
      <c r="C8" s="14"/>
      <c r="D8" s="14"/>
      <c r="E8" s="14"/>
      <c r="F8" s="14"/>
      <c r="G8" s="14"/>
      <c r="H8" s="14"/>
    </row>
    <row r="9" spans="1:8" ht="26.4" x14ac:dyDescent="0.3">
      <c r="A9" s="14" t="s">
        <v>299</v>
      </c>
      <c r="B9" s="14" t="s">
        <v>300</v>
      </c>
      <c r="C9" s="14"/>
      <c r="D9" s="14"/>
      <c r="E9" s="14"/>
      <c r="F9" s="14"/>
      <c r="G9" s="14"/>
      <c r="H9" s="14"/>
    </row>
    <row r="10" spans="1:8" x14ac:dyDescent="0.3">
      <c r="A10" s="14" t="s">
        <v>301</v>
      </c>
      <c r="B10" s="14" t="s">
        <v>302</v>
      </c>
      <c r="C10" s="14"/>
      <c r="D10" s="14"/>
      <c r="E10" s="14"/>
      <c r="F10" s="14"/>
      <c r="G10" s="14"/>
      <c r="H10" s="14"/>
    </row>
    <row r="11" spans="1:8" ht="26.4" x14ac:dyDescent="0.3">
      <c r="A11" s="14" t="s">
        <v>303</v>
      </c>
      <c r="B11" s="14" t="s">
        <v>304</v>
      </c>
      <c r="C11" s="14"/>
      <c r="D11" s="14"/>
      <c r="E11" s="14"/>
      <c r="F11" s="14"/>
      <c r="G11" s="14"/>
      <c r="H11" s="14"/>
    </row>
    <row r="12" spans="1:8" ht="26.4" x14ac:dyDescent="0.3">
      <c r="A12" s="14" t="s">
        <v>305</v>
      </c>
      <c r="B12" s="14" t="s">
        <v>306</v>
      </c>
      <c r="C12" s="14"/>
      <c r="D12" s="14"/>
      <c r="E12" s="14"/>
      <c r="F12" s="14"/>
      <c r="G12" s="14"/>
      <c r="H12" s="14"/>
    </row>
    <row r="13" spans="1:8" x14ac:dyDescent="0.3">
      <c r="A13" s="14" t="s">
        <v>271</v>
      </c>
      <c r="B13" s="14" t="s">
        <v>307</v>
      </c>
      <c r="C13" s="14"/>
      <c r="D13" s="14"/>
      <c r="E13" s="14"/>
      <c r="F13" s="14"/>
      <c r="G13" s="14"/>
      <c r="H13" s="14"/>
    </row>
    <row r="14" spans="1:8" x14ac:dyDescent="0.3">
      <c r="A14" s="14" t="s">
        <v>308</v>
      </c>
      <c r="B14" s="14" t="s">
        <v>309</v>
      </c>
      <c r="C14" s="14"/>
      <c r="D14" s="14"/>
      <c r="E14" s="14"/>
      <c r="F14" s="14"/>
      <c r="G14" s="14"/>
      <c r="H14" s="14"/>
    </row>
    <row r="15" spans="1:8" ht="26.4" x14ac:dyDescent="0.3">
      <c r="A15" s="14" t="s">
        <v>310</v>
      </c>
      <c r="B15" s="14" t="s">
        <v>311</v>
      </c>
      <c r="C15" s="14"/>
      <c r="D15" s="14"/>
      <c r="E15" s="14"/>
      <c r="F15" s="14"/>
      <c r="G15" s="14"/>
      <c r="H15" s="14"/>
    </row>
    <row r="16" spans="1:8" ht="26.4" x14ac:dyDescent="0.3">
      <c r="A16" s="14" t="s">
        <v>312</v>
      </c>
      <c r="B16" s="14" t="s">
        <v>313</v>
      </c>
      <c r="C16" s="14"/>
      <c r="D16" s="14"/>
      <c r="E16" s="14"/>
      <c r="F16" s="14"/>
      <c r="G16" s="14"/>
      <c r="H16" s="14"/>
    </row>
    <row r="17" spans="1:8" ht="26.4" x14ac:dyDescent="0.3">
      <c r="A17" s="14" t="s">
        <v>314</v>
      </c>
      <c r="B17" s="14" t="s">
        <v>315</v>
      </c>
      <c r="C17" s="14"/>
      <c r="D17" s="14"/>
      <c r="E17" s="14"/>
      <c r="F17" s="14"/>
      <c r="G17" s="14"/>
      <c r="H17" s="14"/>
    </row>
    <row r="18" spans="1:8" ht="26.4" x14ac:dyDescent="0.3">
      <c r="A18" s="14" t="s">
        <v>316</v>
      </c>
      <c r="B18" s="14" t="s">
        <v>317</v>
      </c>
      <c r="C18" s="14"/>
      <c r="D18" s="14"/>
      <c r="E18" s="14"/>
      <c r="F18" s="14"/>
      <c r="G18" s="14"/>
      <c r="H18" s="14"/>
    </row>
    <row r="19" spans="1:8" ht="26.4" x14ac:dyDescent="0.3">
      <c r="A19" s="14" t="s">
        <v>216</v>
      </c>
      <c r="B19" s="14" t="s">
        <v>318</v>
      </c>
      <c r="C19" s="14"/>
      <c r="D19" s="14"/>
      <c r="E19" s="14"/>
      <c r="F19" s="14"/>
      <c r="G19" s="14"/>
      <c r="H19" s="14"/>
    </row>
    <row r="20" spans="1:8" x14ac:dyDescent="0.3">
      <c r="A20" s="14"/>
      <c r="B20" s="14"/>
      <c r="C20" s="14"/>
      <c r="D20" s="14"/>
      <c r="E20" s="14"/>
      <c r="F20" s="14"/>
      <c r="G20" s="14"/>
      <c r="H20" s="14"/>
    </row>
    <row r="21" spans="1:8" x14ac:dyDescent="0.3">
      <c r="A21" s="14"/>
      <c r="B21" s="14"/>
      <c r="C21" s="14"/>
      <c r="D21" s="14"/>
      <c r="E21" s="14"/>
      <c r="F21" s="14"/>
      <c r="G21" s="14"/>
      <c r="H21" s="14"/>
    </row>
    <row r="22" spans="1:8" x14ac:dyDescent="0.3">
      <c r="A22" s="14"/>
      <c r="B22" s="14"/>
      <c r="C22" s="14"/>
      <c r="D22" s="14"/>
      <c r="E22" s="14"/>
      <c r="F22" s="14"/>
      <c r="G22" s="14"/>
      <c r="H22" s="14"/>
    </row>
    <row r="23" spans="1:8" x14ac:dyDescent="0.3">
      <c r="A23" s="14"/>
      <c r="B23" s="14"/>
      <c r="C23" s="14"/>
      <c r="D23" s="14"/>
      <c r="E23" s="14"/>
      <c r="F23" s="14"/>
      <c r="G23" s="14"/>
      <c r="H23" s="14"/>
    </row>
    <row r="24" spans="1:8" x14ac:dyDescent="0.3">
      <c r="A24" s="14"/>
      <c r="B24" s="14"/>
      <c r="C24" s="14"/>
      <c r="D24" s="14"/>
      <c r="E24" s="14"/>
      <c r="F24" s="14"/>
      <c r="G24" s="14"/>
      <c r="H24" s="14"/>
    </row>
    <row r="25" spans="1:8" x14ac:dyDescent="0.3">
      <c r="A25" s="14"/>
      <c r="B25" s="14"/>
      <c r="C25" s="14"/>
      <c r="D25" s="14"/>
      <c r="E25" s="14"/>
      <c r="F25" s="14"/>
      <c r="G25" s="14"/>
      <c r="H25" s="14"/>
    </row>
    <row r="26" spans="1:8" x14ac:dyDescent="0.3">
      <c r="A26" s="14"/>
      <c r="B26" s="14"/>
      <c r="C26" s="14"/>
      <c r="D26" s="14"/>
      <c r="E26" s="14"/>
      <c r="F26" s="14"/>
      <c r="G26" s="14"/>
      <c r="H26" s="14"/>
    </row>
    <row r="27" spans="1:8" x14ac:dyDescent="0.3">
      <c r="A27" s="14"/>
      <c r="B27" s="14"/>
      <c r="C27" s="14"/>
      <c r="D27" s="14"/>
      <c r="E27" s="14"/>
      <c r="F27" s="14"/>
      <c r="G27" s="14"/>
      <c r="H27" s="14"/>
    </row>
    <row r="28" spans="1:8" x14ac:dyDescent="0.3">
      <c r="A28" s="14"/>
      <c r="B28" s="14"/>
      <c r="C28" s="14"/>
      <c r="D28" s="14"/>
      <c r="E28" s="14"/>
      <c r="F28" s="14"/>
      <c r="G28" s="14"/>
      <c r="H28" s="14"/>
    </row>
    <row r="29" spans="1:8" x14ac:dyDescent="0.3">
      <c r="A29" s="14"/>
      <c r="B29" s="14"/>
      <c r="C29" s="14"/>
      <c r="D29" s="14"/>
      <c r="E29" s="14"/>
      <c r="F29" s="14"/>
      <c r="G29" s="14"/>
      <c r="H29" s="14"/>
    </row>
    <row r="30" spans="1:8" x14ac:dyDescent="0.3">
      <c r="A30" s="14"/>
      <c r="B30" s="14"/>
      <c r="C30" s="14"/>
      <c r="D30" s="14"/>
      <c r="E30" s="14"/>
      <c r="F30" s="14"/>
      <c r="G30" s="14"/>
      <c r="H30" s="14"/>
    </row>
    <row r="31" spans="1:8" x14ac:dyDescent="0.3">
      <c r="A31" s="14"/>
      <c r="B31" s="14"/>
      <c r="C31" s="14"/>
      <c r="D31" s="14"/>
      <c r="E31" s="14"/>
      <c r="F31" s="14"/>
      <c r="G31" s="14"/>
      <c r="H31" s="14"/>
    </row>
    <row r="32" spans="1:8" x14ac:dyDescent="0.3">
      <c r="A32" s="14"/>
      <c r="B32" s="14"/>
      <c r="C32" s="14"/>
      <c r="D32" s="14"/>
      <c r="E32" s="14"/>
      <c r="F32" s="14"/>
      <c r="G32" s="14"/>
      <c r="H32" s="14"/>
    </row>
    <row r="33" spans="1:8" x14ac:dyDescent="0.3">
      <c r="A33" s="14"/>
      <c r="B33" s="14"/>
      <c r="C33" s="14"/>
      <c r="D33" s="14"/>
      <c r="E33" s="14"/>
      <c r="F33" s="14"/>
      <c r="G33" s="14"/>
      <c r="H33" s="14"/>
    </row>
    <row r="34" spans="1:8" x14ac:dyDescent="0.3">
      <c r="A34" s="14"/>
      <c r="B34" s="14"/>
      <c r="C34" s="14"/>
      <c r="D34" s="14"/>
      <c r="E34" s="14"/>
      <c r="F34" s="14"/>
      <c r="G34" s="14"/>
      <c r="H34" s="14"/>
    </row>
    <row r="35" spans="1:8" x14ac:dyDescent="0.3">
      <c r="A35" s="14"/>
      <c r="B35" s="14"/>
      <c r="C35" s="14"/>
      <c r="D35" s="14"/>
      <c r="E35" s="14"/>
      <c r="F35" s="14"/>
      <c r="G35" s="14"/>
      <c r="H35" s="14"/>
    </row>
    <row r="36" spans="1:8" x14ac:dyDescent="0.3">
      <c r="A36" s="14"/>
      <c r="B36" s="14"/>
      <c r="C36" s="14"/>
      <c r="D36" s="14"/>
      <c r="E36" s="14"/>
      <c r="F36" s="14"/>
      <c r="G36" s="14"/>
      <c r="H36" s="14"/>
    </row>
    <row r="37" spans="1:8" x14ac:dyDescent="0.3">
      <c r="A37" s="14"/>
      <c r="B37" s="14"/>
      <c r="C37" s="14"/>
      <c r="D37" s="14"/>
      <c r="E37" s="14"/>
      <c r="F37" s="14"/>
      <c r="G37" s="14"/>
      <c r="H37" s="14"/>
    </row>
    <row r="38" spans="1:8" x14ac:dyDescent="0.3">
      <c r="A38" s="14"/>
      <c r="B38" s="14"/>
      <c r="C38" s="14"/>
      <c r="D38" s="14"/>
      <c r="E38" s="14"/>
      <c r="F38" s="14"/>
      <c r="G38" s="14"/>
      <c r="H38" s="14"/>
    </row>
    <row r="39" spans="1:8" x14ac:dyDescent="0.3">
      <c r="A39" s="14"/>
      <c r="B39" s="14"/>
      <c r="C39" s="14"/>
      <c r="D39" s="14"/>
      <c r="E39" s="14"/>
      <c r="F39" s="14"/>
      <c r="G39" s="14"/>
      <c r="H39" s="14"/>
    </row>
    <row r="40" spans="1:8" x14ac:dyDescent="0.3">
      <c r="A40" s="14"/>
      <c r="B40" s="14"/>
      <c r="C40" s="14"/>
      <c r="D40" s="14"/>
      <c r="E40" s="14"/>
      <c r="F40" s="14"/>
      <c r="G40" s="14"/>
      <c r="H40" s="14"/>
    </row>
    <row r="41" spans="1:8" x14ac:dyDescent="0.3">
      <c r="A41" s="14"/>
      <c r="B41" s="14"/>
      <c r="C41" s="14"/>
      <c r="D41" s="14"/>
      <c r="E41" s="14"/>
      <c r="F41" s="14"/>
      <c r="G41" s="14"/>
      <c r="H41" s="14"/>
    </row>
    <row r="42" spans="1:8" x14ac:dyDescent="0.3">
      <c r="A42" s="14"/>
      <c r="B42" s="14"/>
      <c r="C42" s="14"/>
      <c r="D42" s="14"/>
      <c r="E42" s="14"/>
      <c r="F42" s="14"/>
      <c r="G42" s="14"/>
      <c r="H42" s="14"/>
    </row>
    <row r="43" spans="1:8" x14ac:dyDescent="0.3">
      <c r="A43" s="14"/>
      <c r="B43" s="14"/>
      <c r="C43" s="14"/>
      <c r="D43" s="14"/>
      <c r="E43" s="14"/>
      <c r="F43" s="14"/>
      <c r="G43" s="14"/>
      <c r="H43" s="14"/>
    </row>
    <row r="44" spans="1:8" x14ac:dyDescent="0.3">
      <c r="A44" s="14"/>
      <c r="B44" s="14"/>
      <c r="C44" s="14"/>
      <c r="D44" s="14"/>
      <c r="E44" s="14"/>
      <c r="F44" s="14"/>
      <c r="G44" s="14"/>
      <c r="H44" s="14"/>
    </row>
    <row r="45" spans="1:8" x14ac:dyDescent="0.3">
      <c r="A45" s="14"/>
      <c r="B45" s="14"/>
      <c r="C45" s="14"/>
      <c r="D45" s="14"/>
      <c r="E45" s="14"/>
      <c r="F45" s="14"/>
      <c r="G45" s="14"/>
      <c r="H45" s="14"/>
    </row>
    <row r="46" spans="1:8" x14ac:dyDescent="0.3">
      <c r="A46" s="14"/>
      <c r="B46" s="14"/>
      <c r="C46" s="14"/>
      <c r="D46" s="14"/>
      <c r="E46" s="14"/>
      <c r="F46" s="14"/>
      <c r="G46" s="14"/>
      <c r="H46" s="14"/>
    </row>
    <row r="47" spans="1:8" x14ac:dyDescent="0.3">
      <c r="A47" s="14"/>
      <c r="B47" s="14"/>
      <c r="C47" s="14"/>
      <c r="D47" s="14"/>
      <c r="E47" s="14"/>
      <c r="F47" s="14"/>
      <c r="G47" s="14"/>
      <c r="H47" s="14"/>
    </row>
    <row r="48" spans="1:8" x14ac:dyDescent="0.3">
      <c r="A48" s="14"/>
      <c r="B48" s="14"/>
      <c r="C48" s="14"/>
      <c r="D48" s="14"/>
      <c r="E48" s="14"/>
      <c r="F48" s="14"/>
      <c r="G48" s="14"/>
      <c r="H48" s="14"/>
    </row>
    <row r="49" spans="1:8" x14ac:dyDescent="0.3">
      <c r="A49" s="14"/>
      <c r="B49" s="14"/>
      <c r="C49" s="14"/>
      <c r="D49" s="14"/>
      <c r="E49" s="14"/>
      <c r="F49" s="14"/>
      <c r="G49" s="14"/>
      <c r="H49" s="14"/>
    </row>
    <row r="50" spans="1:8" x14ac:dyDescent="0.3">
      <c r="A50" s="14"/>
      <c r="B50" s="14"/>
      <c r="C50" s="14"/>
      <c r="D50" s="14"/>
      <c r="E50" s="14"/>
      <c r="F50" s="14"/>
      <c r="G50" s="14"/>
      <c r="H50" s="14"/>
    </row>
    <row r="51" spans="1:8" x14ac:dyDescent="0.3">
      <c r="A51" s="14"/>
      <c r="B51" s="14"/>
      <c r="C51" s="14"/>
      <c r="D51" s="14"/>
      <c r="E51" s="14"/>
      <c r="F51" s="14"/>
      <c r="G51" s="14"/>
      <c r="H51" s="14"/>
    </row>
    <row r="52" spans="1:8" x14ac:dyDescent="0.3">
      <c r="A52" s="14"/>
      <c r="B52" s="14"/>
      <c r="C52" s="14"/>
      <c r="D52" s="14"/>
      <c r="E52" s="14"/>
      <c r="F52" s="14"/>
      <c r="G52" s="14"/>
      <c r="H52" s="14"/>
    </row>
    <row r="53" spans="1:8" x14ac:dyDescent="0.3">
      <c r="A53" s="14"/>
      <c r="B53" s="14"/>
      <c r="C53" s="14"/>
      <c r="D53" s="14"/>
      <c r="E53" s="14"/>
      <c r="F53" s="14"/>
      <c r="G53" s="14"/>
      <c r="H53" s="14"/>
    </row>
    <row r="54" spans="1:8" x14ac:dyDescent="0.3">
      <c r="A54" s="14"/>
      <c r="B54" s="14"/>
      <c r="C54" s="14"/>
      <c r="D54" s="14"/>
      <c r="E54" s="14"/>
      <c r="F54" s="14"/>
      <c r="G54" s="14"/>
      <c r="H54" s="14"/>
    </row>
    <row r="55" spans="1:8" x14ac:dyDescent="0.3">
      <c r="A55" s="14"/>
      <c r="B55" s="14"/>
      <c r="C55" s="14"/>
      <c r="D55" s="14"/>
      <c r="E55" s="14"/>
      <c r="F55" s="14"/>
      <c r="G55" s="14"/>
      <c r="H55" s="14"/>
    </row>
    <row r="56" spans="1:8" x14ac:dyDescent="0.3">
      <c r="A56" s="14"/>
      <c r="B56" s="14"/>
      <c r="C56" s="14"/>
      <c r="D56" s="14"/>
      <c r="E56" s="14"/>
      <c r="F56" s="14"/>
      <c r="G56" s="14"/>
      <c r="H56" s="14"/>
    </row>
    <row r="57" spans="1:8" x14ac:dyDescent="0.3">
      <c r="A57" s="14"/>
      <c r="B57" s="14"/>
      <c r="C57" s="14"/>
      <c r="D57" s="14"/>
      <c r="E57" s="14"/>
      <c r="F57" s="14"/>
      <c r="G57" s="14"/>
      <c r="H57" s="14"/>
    </row>
    <row r="58" spans="1:8" x14ac:dyDescent="0.3">
      <c r="A58" s="14"/>
      <c r="B58" s="14"/>
      <c r="C58" s="14"/>
      <c r="D58" s="14"/>
      <c r="E58" s="14"/>
      <c r="F58" s="14"/>
      <c r="G58" s="14"/>
      <c r="H58" s="14"/>
    </row>
    <row r="59" spans="1:8" x14ac:dyDescent="0.3">
      <c r="A59" s="14"/>
      <c r="B59" s="14"/>
      <c r="C59" s="14"/>
      <c r="D59" s="14"/>
      <c r="E59" s="14"/>
      <c r="F59" s="14"/>
      <c r="G59" s="14"/>
      <c r="H59" s="14"/>
    </row>
    <row r="60" spans="1:8" x14ac:dyDescent="0.3">
      <c r="A60" s="14"/>
      <c r="B60" s="14"/>
      <c r="C60" s="14"/>
      <c r="D60" s="14"/>
      <c r="E60" s="14"/>
      <c r="F60" s="14"/>
      <c r="G60" s="14"/>
      <c r="H60" s="14"/>
    </row>
    <row r="61" spans="1:8" x14ac:dyDescent="0.3">
      <c r="A61" s="14"/>
      <c r="B61" s="14"/>
      <c r="C61" s="14"/>
      <c r="D61" s="14"/>
      <c r="E61" s="14"/>
      <c r="F61" s="14"/>
      <c r="G61" s="14"/>
      <c r="H61" s="14"/>
    </row>
    <row r="62" spans="1:8" x14ac:dyDescent="0.3">
      <c r="A62" s="14"/>
      <c r="B62" s="14"/>
      <c r="C62" s="14"/>
      <c r="D62" s="14"/>
      <c r="E62" s="14"/>
      <c r="F62" s="14"/>
      <c r="G62" s="14"/>
      <c r="H62" s="14"/>
    </row>
    <row r="63" spans="1:8" x14ac:dyDescent="0.3">
      <c r="A63" s="14"/>
      <c r="B63" s="14"/>
      <c r="C63" s="14"/>
      <c r="D63" s="14"/>
      <c r="E63" s="14"/>
      <c r="F63" s="14"/>
      <c r="G63" s="14"/>
      <c r="H63" s="14"/>
    </row>
    <row r="64" spans="1:8" x14ac:dyDescent="0.3">
      <c r="A64" s="14"/>
      <c r="B64" s="14"/>
      <c r="C64" s="14"/>
      <c r="D64" s="14"/>
      <c r="E64" s="14"/>
      <c r="F64" s="14"/>
      <c r="G64" s="14"/>
      <c r="H64" s="14"/>
    </row>
    <row r="65" spans="1:8" x14ac:dyDescent="0.3">
      <c r="A65" s="14"/>
      <c r="B65" s="14"/>
      <c r="C65" s="14"/>
      <c r="D65" s="14"/>
      <c r="E65" s="14"/>
      <c r="F65" s="14"/>
      <c r="G65" s="14"/>
      <c r="H65" s="14"/>
    </row>
    <row r="66" spans="1:8" x14ac:dyDescent="0.3">
      <c r="A66" s="14"/>
      <c r="B66" s="14"/>
      <c r="C66" s="14"/>
      <c r="D66" s="14"/>
      <c r="E66" s="14"/>
      <c r="F66" s="14"/>
      <c r="G66" s="14"/>
      <c r="H66" s="14"/>
    </row>
  </sheetData>
  <mergeCells count="2">
    <mergeCell ref="B1:H1"/>
    <mergeCell ref="B2:H2"/>
  </mergeCells>
  <dataValidations count="4">
    <dataValidation type="list" allowBlank="1" sqref="A7:A66">
      <formula1>GroupNames</formula1>
    </dataValidation>
    <dataValidation type="list" allowBlank="1" showErrorMessage="1" errorTitle="Pick from the list" error="Choose a value from the dropdown, or add it to the list first." sqref="F7:F66">
      <formula1>YesNo</formula1>
    </dataValidation>
    <dataValidation type="list" allowBlank="1" showErrorMessage="1" errorTitle="Pick from the list" error="Choose a value from the dropdown, or add it to the list first." sqref="G7:G66">
      <formula1>YesNo</formula1>
    </dataValidation>
    <dataValidation type="custom" allowBlank="1" showErrorMessage="1" errorTitle="Email address" error="Enter a valid email address, e.g. name@erc.sa." sqref="D7:D66">
      <formula1>ISNUMBER(SEARCH("@",D7))</formula1>
    </dataValidation>
  </dataValidation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zoomScale="90" workbookViewId="0"/>
  </sheetViews>
  <sheetFormatPr defaultRowHeight="14.4" x14ac:dyDescent="0.3"/>
  <sheetData>
    <row r="1" spans="1:15" x14ac:dyDescent="0.3">
      <c r="A1" s="29" t="s">
        <v>97</v>
      </c>
      <c r="B1" s="29" t="s">
        <v>101</v>
      </c>
      <c r="C1" s="29" t="s">
        <v>319</v>
      </c>
      <c r="D1" s="29" t="s">
        <v>320</v>
      </c>
      <c r="E1" s="29" t="s">
        <v>237</v>
      </c>
      <c r="F1" s="29" t="s">
        <v>321</v>
      </c>
      <c r="G1" s="29" t="s">
        <v>242</v>
      </c>
      <c r="H1" s="29" t="s">
        <v>243</v>
      </c>
      <c r="I1" s="29" t="s">
        <v>322</v>
      </c>
      <c r="J1" s="29" t="s">
        <v>323</v>
      </c>
      <c r="K1" s="29" t="s">
        <v>324</v>
      </c>
      <c r="L1" s="29" t="s">
        <v>325</v>
      </c>
      <c r="M1" s="29" t="s">
        <v>326</v>
      </c>
      <c r="N1" s="29" t="s">
        <v>327</v>
      </c>
      <c r="O1" s="29" t="s">
        <v>328</v>
      </c>
    </row>
    <row r="2" spans="1:15" x14ac:dyDescent="0.3">
      <c r="A2" t="s">
        <v>119</v>
      </c>
      <c r="B2" t="s">
        <v>112</v>
      </c>
      <c r="C2" t="s">
        <v>123</v>
      </c>
      <c r="D2" t="s">
        <v>263</v>
      </c>
      <c r="E2" t="s">
        <v>264</v>
      </c>
      <c r="F2" t="s">
        <v>262</v>
      </c>
      <c r="G2" t="s">
        <v>329</v>
      </c>
      <c r="H2" t="s">
        <v>269</v>
      </c>
      <c r="I2" t="s">
        <v>273</v>
      </c>
      <c r="J2" t="s">
        <v>89</v>
      </c>
      <c r="K2" t="s">
        <v>66</v>
      </c>
      <c r="L2" t="s">
        <v>92</v>
      </c>
      <c r="M2" t="s">
        <v>330</v>
      </c>
      <c r="N2" t="s">
        <v>331</v>
      </c>
      <c r="O2" t="s">
        <v>270</v>
      </c>
    </row>
    <row r="3" spans="1:15" x14ac:dyDescent="0.3">
      <c r="A3" t="s">
        <v>175</v>
      </c>
      <c r="B3" t="s">
        <v>332</v>
      </c>
      <c r="C3" t="s">
        <v>333</v>
      </c>
      <c r="D3" t="s">
        <v>334</v>
      </c>
      <c r="E3" t="s">
        <v>335</v>
      </c>
      <c r="F3" t="s">
        <v>276</v>
      </c>
      <c r="G3" t="s">
        <v>268</v>
      </c>
      <c r="H3" t="s">
        <v>336</v>
      </c>
      <c r="I3" t="s">
        <v>337</v>
      </c>
      <c r="J3" t="s">
        <v>294</v>
      </c>
      <c r="K3" t="s">
        <v>338</v>
      </c>
      <c r="L3" t="s">
        <v>339</v>
      </c>
      <c r="M3" t="s">
        <v>340</v>
      </c>
      <c r="N3" t="s">
        <v>341</v>
      </c>
      <c r="O3" t="s">
        <v>297</v>
      </c>
    </row>
    <row r="4" spans="1:15" x14ac:dyDescent="0.3">
      <c r="A4" t="s">
        <v>137</v>
      </c>
      <c r="B4" t="s">
        <v>342</v>
      </c>
      <c r="C4" t="s">
        <v>343</v>
      </c>
      <c r="D4" t="s">
        <v>344</v>
      </c>
      <c r="E4" t="s">
        <v>345</v>
      </c>
      <c r="F4" t="s">
        <v>346</v>
      </c>
      <c r="G4" t="s">
        <v>347</v>
      </c>
      <c r="I4" t="s">
        <v>348</v>
      </c>
      <c r="K4" t="s">
        <v>349</v>
      </c>
      <c r="M4" t="s">
        <v>350</v>
      </c>
      <c r="N4" t="s">
        <v>351</v>
      </c>
      <c r="O4" t="s">
        <v>299</v>
      </c>
    </row>
    <row r="5" spans="1:15" x14ac:dyDescent="0.3">
      <c r="A5" t="s">
        <v>352</v>
      </c>
      <c r="B5" t="s">
        <v>353</v>
      </c>
      <c r="C5" t="s">
        <v>354</v>
      </c>
      <c r="D5" t="s">
        <v>355</v>
      </c>
      <c r="E5" t="s">
        <v>356</v>
      </c>
      <c r="F5" t="s">
        <v>357</v>
      </c>
      <c r="G5" t="s">
        <v>358</v>
      </c>
      <c r="I5" t="s">
        <v>359</v>
      </c>
      <c r="K5" t="s">
        <v>360</v>
      </c>
      <c r="M5" t="s">
        <v>361</v>
      </c>
      <c r="N5" t="s">
        <v>362</v>
      </c>
      <c r="O5" t="s">
        <v>301</v>
      </c>
    </row>
    <row r="6" spans="1:15" x14ac:dyDescent="0.3">
      <c r="A6" t="s">
        <v>108</v>
      </c>
      <c r="C6" t="s">
        <v>117</v>
      </c>
      <c r="D6" t="s">
        <v>363</v>
      </c>
      <c r="E6" t="s">
        <v>364</v>
      </c>
      <c r="F6" t="s">
        <v>365</v>
      </c>
      <c r="K6" t="s">
        <v>366</v>
      </c>
      <c r="M6" t="s">
        <v>367</v>
      </c>
      <c r="N6" t="s">
        <v>368</v>
      </c>
      <c r="O6" t="s">
        <v>303</v>
      </c>
    </row>
    <row r="7" spans="1:15" x14ac:dyDescent="0.3">
      <c r="A7" t="s">
        <v>369</v>
      </c>
      <c r="D7" t="s">
        <v>370</v>
      </c>
      <c r="F7" t="s">
        <v>371</v>
      </c>
      <c r="M7" t="s">
        <v>88</v>
      </c>
      <c r="N7" t="s">
        <v>372</v>
      </c>
      <c r="O7" t="s">
        <v>305</v>
      </c>
    </row>
    <row r="8" spans="1:15" x14ac:dyDescent="0.3">
      <c r="A8" t="s">
        <v>373</v>
      </c>
      <c r="D8" t="s">
        <v>374</v>
      </c>
      <c r="M8" t="s">
        <v>375</v>
      </c>
      <c r="N8" t="s">
        <v>376</v>
      </c>
      <c r="O8" t="s">
        <v>271</v>
      </c>
    </row>
    <row r="9" spans="1:15" x14ac:dyDescent="0.3">
      <c r="A9" t="s">
        <v>377</v>
      </c>
      <c r="D9" t="s">
        <v>378</v>
      </c>
      <c r="M9" t="s">
        <v>379</v>
      </c>
      <c r="N9" t="s">
        <v>379</v>
      </c>
      <c r="O9" t="s">
        <v>308</v>
      </c>
    </row>
    <row r="10" spans="1:15" x14ac:dyDescent="0.3">
      <c r="A10" t="s">
        <v>380</v>
      </c>
      <c r="D10" t="s">
        <v>381</v>
      </c>
      <c r="M10" t="s">
        <v>382</v>
      </c>
      <c r="N10" t="s">
        <v>383</v>
      </c>
      <c r="O10" t="s">
        <v>310</v>
      </c>
    </row>
    <row r="11" spans="1:15" x14ac:dyDescent="0.3">
      <c r="A11" t="s">
        <v>371</v>
      </c>
      <c r="D11" t="s">
        <v>384</v>
      </c>
      <c r="M11" t="s">
        <v>385</v>
      </c>
      <c r="N11" t="s">
        <v>386</v>
      </c>
      <c r="O11" t="s">
        <v>312</v>
      </c>
    </row>
    <row r="12" spans="1:15" x14ac:dyDescent="0.3">
      <c r="D12" t="s">
        <v>371</v>
      </c>
      <c r="M12" t="s">
        <v>387</v>
      </c>
      <c r="N12" t="s">
        <v>388</v>
      </c>
      <c r="O12" t="s">
        <v>314</v>
      </c>
    </row>
    <row r="13" spans="1:15" x14ac:dyDescent="0.3">
      <c r="M13" t="s">
        <v>389</v>
      </c>
      <c r="N13" t="s">
        <v>390</v>
      </c>
      <c r="O13" t="s">
        <v>316</v>
      </c>
    </row>
    <row r="14" spans="1:15" x14ac:dyDescent="0.3">
      <c r="M14" t="s">
        <v>391</v>
      </c>
      <c r="N14" t="s">
        <v>392</v>
      </c>
      <c r="O14" t="s">
        <v>216</v>
      </c>
    </row>
    <row r="15" spans="1:15" x14ac:dyDescent="0.3">
      <c r="M15" t="s">
        <v>393</v>
      </c>
      <c r="N15" t="s">
        <v>394</v>
      </c>
    </row>
    <row r="16" spans="1:15" x14ac:dyDescent="0.3">
      <c r="M16" t="s">
        <v>395</v>
      </c>
      <c r="N16" t="s">
        <v>396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Instructions</vt:lpstr>
      <vt:lpstr>Service Catalog</vt:lpstr>
      <vt:lpstr>Request Form Fields</vt:lpstr>
      <vt:lpstr>Other Requirements</vt:lpstr>
      <vt:lpstr>BR-006 Impact</vt:lpstr>
      <vt:lpstr>BR-007 Impact</vt:lpstr>
      <vt:lpstr>SLA</vt:lpstr>
      <vt:lpstr>Groups &amp; Contacts</vt:lpstr>
      <vt:lpstr>Lists</vt:lpstr>
      <vt:lpstr>Area</vt:lpstr>
      <vt:lpstr>Calendar</vt:lpstr>
      <vt:lpstr>Channel</vt:lpstr>
      <vt:lpstr>FieldType</vt:lpstr>
      <vt:lpstr>FilledBy</vt:lpstr>
      <vt:lpstr>GroupNames</vt:lpstr>
      <vt:lpstr>JiraField</vt:lpstr>
      <vt:lpstr>Priority</vt:lpstr>
      <vt:lpstr>ReportCategory</vt:lpstr>
      <vt:lpstr>ReqStatus</vt:lpstr>
      <vt:lpstr>Requesters</vt:lpstr>
      <vt:lpstr>ServiceNames</vt:lpstr>
      <vt:lpstr>Severity</vt:lpstr>
      <vt:lpstr>Stage</vt:lpstr>
      <vt:lpstr>Unit</vt:lpstr>
      <vt:lpstr>YesNo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2026-10-21T11:41:47Z</dcterms:created>
  <dcterms:modified xsi:type="dcterms:W3CDTF">2026-10-21T11:42:00Z</dcterms:modified>
</cp:coreProperties>
</file>